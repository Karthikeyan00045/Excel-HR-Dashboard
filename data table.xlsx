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3cfa463cb6a43f2b/Desktop/employees analysis/"/>
    </mc:Choice>
  </mc:AlternateContent>
  <xr:revisionPtr revIDLastSave="2" documentId="14_{0BB9DEE6-3D83-48C9-A827-F074F874E3A4}" xr6:coauthVersionLast="47" xr6:coauthVersionMax="47" xr10:uidLastSave="{FD40F1BB-3542-4AB2-AED3-62054D934D83}"/>
  <bookViews>
    <workbookView xWindow="-120" yWindow="-120" windowWidth="20730" windowHeight="11040" activeTab="2" xr2:uid="{408BA6AB-5196-496B-9C80-B057CC378CDA}"/>
  </bookViews>
  <sheets>
    <sheet name="Sheet3" sheetId="3" r:id="rId1"/>
    <sheet name="Sheet1" sheetId="1" r:id="rId2"/>
    <sheet name="Sheet2" sheetId="2" r:id="rId3"/>
  </sheets>
  <definedNames>
    <definedName name="Slicer_Department">#N/A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15" i="3" l="1"/>
  <c r="U15" i="3"/>
  <c r="U12" i="3"/>
  <c r="U14" i="3"/>
  <c r="X16" i="3"/>
  <c r="U16" i="3"/>
  <c r="U13" i="3"/>
  <c r="X14" i="3"/>
  <c r="X13" i="3"/>
  <c r="X12" i="3"/>
  <c r="F15" i="3"/>
  <c r="E15" i="3"/>
  <c r="F14" i="3"/>
  <c r="F13" i="3"/>
  <c r="E12" i="3"/>
  <c r="E13" i="3"/>
  <c r="F11" i="3"/>
  <c r="F12" i="3"/>
  <c r="E14" i="3"/>
  <c r="B13" i="3"/>
  <c r="H20" i="3"/>
  <c r="B11" i="3"/>
  <c r="H17" i="3"/>
  <c r="B12" i="3"/>
  <c r="M12" i="3"/>
  <c r="M11" i="3"/>
  <c r="H16" i="3"/>
  <c r="H13" i="3"/>
  <c r="H15" i="3"/>
  <c r="M10" i="3"/>
  <c r="H14" i="3"/>
  <c r="E11" i="3"/>
  <c r="H21" i="3"/>
  <c r="R15" i="3"/>
  <c r="R14" i="3"/>
  <c r="R13" i="3"/>
  <c r="R12" i="3"/>
  <c r="R16" i="3"/>
  <c r="F16" i="3" l="1"/>
  <c r="X17" i="3"/>
  <c r="U17" i="3"/>
  <c r="I21" i="3"/>
  <c r="J21" i="3" s="1"/>
  <c r="I20" i="3"/>
  <c r="J20" i="3" s="1"/>
  <c r="N10" i="3"/>
  <c r="O10" i="3" s="1"/>
  <c r="M13" i="3"/>
  <c r="H18" i="3"/>
  <c r="N11" i="3"/>
  <c r="O11" i="3" s="1"/>
  <c r="N12" i="3"/>
  <c r="O12" i="3" s="1"/>
  <c r="B14" i="3"/>
  <c r="R17" i="3"/>
  <c r="E16" i="3"/>
</calcChain>
</file>

<file path=xl/sharedStrings.xml><?xml version="1.0" encoding="utf-8"?>
<sst xmlns="http://schemas.openxmlformats.org/spreadsheetml/2006/main" count="876" uniqueCount="229">
  <si>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</si>
  <si>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</si>
  <si>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</si>
  <si>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</si>
  <si>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</si>
  <si>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</si>
  <si>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</si>
  <si>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</si>
  <si>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</si>
  <si>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</si>
  <si>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</si>
  <si>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</si>
  <si>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</si>
  <si>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</si>
  <si>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</si>
  <si>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</si>
  <si>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</si>
  <si>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</si>
  <si>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</si>
  <si>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</si>
  <si>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</si>
  <si>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</si>
  <si>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</si>
  <si>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</si>
  <si>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</si>
  <si>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</si>
  <si>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</si>
  <si>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</si>
  <si>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</si>
  <si>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</si>
  <si>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</si>
  <si>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</si>
  <si>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</si>
  <si>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</si>
  <si>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</si>
  <si>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</si>
  <si>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</si>
  <si>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</si>
  <si>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</si>
  <si>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</si>
  <si>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</si>
  <si>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</si>
  <si>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</si>
  <si>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</si>
  <si>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</si>
  <si>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</si>
  <si>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</si>
  <si>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</si>
  <si>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</si>
  <si>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</si>
  <si>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</si>
  <si>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</si>
  <si>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</si>
  <si>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</si>
  <si>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</si>
  <si>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</si>
  <si>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</si>
  <si>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</si>
  <si>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</si>
  <si>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</si>
  <si>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</si>
  <si>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</si>
  <si>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</si>
  <si>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</si>
  <si>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</si>
  <si>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</si>
  <si>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</si>
  <si>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</si>
  <si>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</si>
  <si>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</si>
  <si>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</si>
  <si>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</si>
  <si>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</si>
  <si>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</si>
  <si>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</si>
  <si>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</si>
  <si>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</si>
  <si>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</si>
  <si>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</si>
  <si>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</si>
  <si>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</si>
  <si>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</si>
  <si>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</si>
  <si>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</si>
  <si>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</si>
  <si>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</si>
  <si>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</si>
  <si>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</si>
  <si>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</si>
  <si>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</si>
  <si>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</si>
  <si>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</si>
  <si>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</si>
  <si>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</si>
  <si>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</si>
  <si>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</si>
  <si>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</si>
  <si>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</si>
  <si>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</si>
  <si>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</si>
  <si>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</si>
  <si>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</si>
  <si>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</si>
  <si>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</si>
  <si>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</si>
  <si>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</si>
  <si>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</si>
  <si>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</si>
  <si>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</si>
  <si>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</si>
  <si>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</si>
  <si>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</si>
  <si>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</si>
  <si>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</si>
  <si>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</si>
  <si>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</si>
  <si>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</si>
  <si>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</si>
  <si>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</si>
  <si>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</si>
  <si>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</si>
  <si>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</si>
  <si>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</si>
  <si>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</si>
  <si>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</si>
  <si>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</si>
  <si>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</si>
  <si>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</si>
  <si>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</si>
  <si>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</si>
  <si>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</si>
  <si>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</si>
  <si>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</si>
  <si>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</si>
  <si>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</si>
  <si>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</si>
  <si>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</si>
  <si>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</si>
  <si>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</si>
  <si>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</si>
  <si>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</si>
  <si>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</si>
  <si>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</si>
  <si>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</si>
  <si>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</si>
  <si>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</si>
  <si>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</si>
  <si>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</si>
  <si>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</si>
  <si>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</si>
  <si>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</si>
  <si>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</si>
  <si>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</si>
  <si>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</si>
  <si>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</si>
  <si>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</si>
  <si>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</si>
  <si>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</si>
  <si>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</si>
  <si>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</si>
  <si>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</si>
  <si>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</si>
  <si>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</si>
  <si>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</si>
  <si>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</si>
  <si>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</si>
  <si>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</si>
  <si>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</si>
  <si>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</si>
  <si>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</si>
  <si>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</si>
  <si>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</si>
  <si>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</si>
  <si>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</si>
  <si>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</si>
  <si>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</si>
  <si>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</si>
  <si>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</si>
  <si>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</si>
  <si>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</si>
  <si>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</si>
  <si>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</si>
  <si>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</si>
  <si>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</si>
  <si>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</si>
  <si>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</si>
  <si>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</si>
  <si>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</si>
  <si>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</si>
  <si>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</si>
  <si>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</si>
  <si>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</si>
  <si>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</si>
  <si>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</si>
  <si>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</si>
  <si>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</si>
  <si>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</si>
  <si>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</si>
  <si>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</si>
  <si>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</si>
  <si>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</si>
  <si>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</si>
  <si>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</si>
  <si>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</si>
  <si>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</si>
  <si>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</si>
  <si>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</si>
  <si>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</si>
  <si>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</si>
  <si>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</si>
  <si>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</si>
  <si>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</si>
  <si>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</si>
  <si>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</si>
  <si>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Count of Full Name</t>
  </si>
  <si>
    <t>Row Labels</t>
  </si>
  <si>
    <t>Grand Total</t>
  </si>
  <si>
    <t>Number Of Employee To Employee Status</t>
  </si>
  <si>
    <t>Total</t>
  </si>
  <si>
    <t>Part Time</t>
  </si>
  <si>
    <t xml:space="preserve"> Employees</t>
  </si>
  <si>
    <t>Sum of Salary</t>
  </si>
  <si>
    <t>Salaries To Employees</t>
  </si>
  <si>
    <t>Column Labels</t>
  </si>
  <si>
    <t>Age Range To Gender</t>
  </si>
  <si>
    <t>male</t>
  </si>
  <si>
    <t>Workplace</t>
  </si>
  <si>
    <t>Sum of Leave Taken</t>
  </si>
  <si>
    <t>Average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</si>
</sst>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_);_(* \(#,##0\);_(* &quot;-&quot;??_);_(@_)"/>
    <numFmt numFmtId="165" formatCode="0.0"/>
  </numFmts>
  <fonts count="13">
    <font>
      <sz val="11"/>
      <color theme="1"/>
      <name val="Aptos Narrow"/>
      <family val="2"/>
      <scheme val="minor"/>
    </font>
    <font>
      <b/>
      <sz val="11"/>
      <color theme="0" tint="-4.9989318521683403E-2"/>
      <name val="Kulim Park"/>
    </font>
    <font>
      <sz val="11"/>
      <color theme="1"/>
      <name val="Kulim Park"/>
    </font>
    <font>
      <sz val="11"/>
      <color theme="0" tint="-4.9989318521683403E-2"/>
      <name val="Kulim Park"/>
    </font>
    <font>
      <sz val="11"/>
      <color theme="0"/>
      <name val="Aptos Narrow"/>
      <family val="2"/>
      <scheme val="minor"/>
    </font>
    <font>
      <b/>
      <sz val="11"/>
      <color rgb="FFFFFFFF"/>
      <name val="Times New Roman"/>
      <family val="1"/>
    </font>
    <font>
      <sz val="11"/>
      <color theme="1"/>
      <name val="Aptos Narrow"/>
      <family val="2"/>
      <scheme val="minor"/>
    </font>
    <font>
      <sz val="11"/>
      <color theme="0"/>
      <name val="Times New Roman"/>
      <family val="1"/>
    </font>
    <font>
      <sz val="11"/>
      <color theme="1"/>
      <name val="Times New Roman"/>
      <family val="1"/>
    </font>
    <font>
      <b/>
      <sz val="11"/>
      <color theme="0"/>
      <name val="Times New Roman"/>
      <family val="1"/>
    </font>
    <font>
      <b/>
      <sz val="11"/>
      <color theme="0"/>
      <name val="Aptos Narrow"/>
      <family val="2"/>
      <scheme val="minor"/>
    </font>
    <font>
      <b/>
      <sz val="11"/>
      <color theme="1"/>
      <name val="Aptos Narrow"/>
      <family val="2"/>
      <scheme val="minor"/>
    </font>
    <font>
      <b/>
      <sz val="16"/>
      <color rgb="FFFDF449"/>
      <name val="Times New Roman"/>
      <family val="1"/>
    </font>
  </fonts>
  <fills count="5">
    <fill>
      <patternFill patternType="none"/>
    </fill>
    <fill>
      <patternFill patternType="gray125"/>
    </fill>
    <fill>
      <patternFill patternType="solid">
        <fgColor rgb="FF282828"/>
        <bgColor indexed="64"/>
      </patternFill>
    </fill>
    <fill>
      <patternFill patternType="solid">
        <fgColor theme="1" tint="0.14999847407452621"/>
        <bgColor indexed="64"/>
      </patternFill>
    </fill>
    <fill>
      <patternFill patternType="solid">
        <fgColor theme="1"/>
        <bgColor indexed="64"/>
      </patternFill>
    </fill>
  </fills>
  <borders count="2">
    <border>
      <left/>
      <right/>
      <top/>
      <bottom/>
      <diagonal/>
    </border>
    <border>
      <left/>
      <right/>
      <top style="thin">
        <color theme="1" tint="0.499984740745262"/>
      </top>
      <bottom style="thin">
        <color theme="1" tint="0.499984740745262"/>
      </bottom>
      <diagonal/>
    </border>
  </borders>
  <cellStyleXfs count="3">
    <xf numFmtId="0" fontId="0" fillId="0" borderId="0"/>
    <xf numFmtId="43" fontId="6" fillId="0" borderId="0" applyFont="0" applyFill="0" applyBorder="0" applyAlignment="0" applyProtection="0"/>
    <xf numFmtId="9" fontId="6" fillId="0" borderId="0" applyFont="0" applyFill="0" applyBorder="0" applyAlignment="0" applyProtection="0"/>
  </cellStyleXfs>
  <cellXfs count="26">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0" fontId="5" fillId="0" borderId="0" xfId="0" applyFont="1" applyAlignment="1">
      <alignment horizontal="left" vertical="center"/>
    </xf>
    <xf numFmtId="164" fontId="0" fillId="0" borderId="0" xfId="0" applyNumberFormat="1"/>
    <xf numFmtId="164" fontId="0" fillId="0" borderId="0" xfId="1" applyNumberFormat="1" applyFont="1"/>
    <xf numFmtId="0" fontId="8" fillId="0" borderId="0" xfId="0" pivotButton="1" applyFont="1"/>
    <xf numFmtId="0" fontId="8" fillId="0" borderId="0" xfId="0" applyFont="1"/>
    <xf numFmtId="0" fontId="8" fillId="0" borderId="0" xfId="0" applyFont="1" applyAlignment="1">
      <alignment horizontal="left"/>
    </xf>
    <xf numFmtId="0" fontId="8" fillId="0" borderId="0" xfId="0" applyNumberFormat="1" applyFont="1"/>
    <xf numFmtId="9" fontId="8" fillId="0" borderId="0" xfId="0" applyNumberFormat="1" applyFont="1"/>
    <xf numFmtId="9" fontId="8" fillId="0" borderId="0" xfId="2" applyFont="1"/>
    <xf numFmtId="9" fontId="0" fillId="0" borderId="0" xfId="0" applyNumberFormat="1"/>
    <xf numFmtId="0" fontId="12" fillId="0" borderId="0" xfId="0" applyFont="1" applyAlignment="1">
      <alignment horizontal="right" vertical="center"/>
    </xf>
    <xf numFmtId="165" fontId="0" fillId="0" borderId="0" xfId="0" applyNumberFormat="1"/>
    <xf numFmtId="165" fontId="11" fillId="0" borderId="0" xfId="0" applyNumberFormat="1" applyFont="1"/>
    <xf numFmtId="0" fontId="10" fillId="4" borderId="0" xfId="0" applyFont="1" applyFill="1" applyAlignment="1">
      <alignment horizontal="center"/>
    </xf>
    <xf numFmtId="0" fontId="0" fillId="4" borderId="0" xfId="0" applyFill="1" applyAlignment="1">
      <alignment horizontal="center"/>
    </xf>
    <xf numFmtId="0" fontId="4" fillId="3" borderId="0" xfId="0" applyFont="1" applyFill="1" applyAlignment="1">
      <alignment horizontal="center" vertical="center"/>
    </xf>
    <xf numFmtId="0" fontId="4" fillId="4" borderId="0" xfId="0" applyFont="1" applyFill="1" applyAlignment="1">
      <alignment horizontal="center"/>
    </xf>
    <xf numFmtId="0" fontId="7" fillId="4" borderId="0" xfId="0" applyFont="1" applyFill="1" applyAlignment="1">
      <alignment horizontal="center"/>
    </xf>
    <xf numFmtId="0" fontId="9" fillId="4" borderId="0" xfId="0" applyFont="1" applyFill="1" applyAlignment="1">
      <alignment horizontal="center"/>
    </xf>
  </cellXfs>
  <cellStyles count="3">
    <cellStyle name="Comma" xfId="1" builtinId="3"/>
    <cellStyle name="Normal" xfId="0" builtinId="0"/>
    <cellStyle name="Percent" xfId="2" builtinId="5"/>
  </cellStyles>
  <dxfs count="169">
    <dxf>
      <numFmt numFmtId="165" formatCode="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4" formatCode="_(* #,##0_);_(* \(#,##0\);_(* &quot;-&quot;??_);_(@_)"/>
    </dxf>
    <dxf>
      <numFmt numFmtId="165" formatCode="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4" formatCode="_(* #,##0_);_(* \(#,##0\);_(* &quot;-&quot;??_);_(@_)"/>
    </dxf>
    <dxf>
      <numFmt numFmtId="165" formatCode="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4" formatCode="_(* #,##0_);_(* \(#,##0\);_(* &quot;-&quot;??_);_(@_)"/>
    </dxf>
    <dxf>
      <numFmt numFmtId="165" formatCode="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5" formatCode="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5" formatCode="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5" formatCode="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5" formatCode="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4" formatCode="_(* #,##0_);_(* \(#,##0\);_(* &quot;-&quot;??_);_(@_)"/>
    </dxf>
    <dxf>
      <numFmt numFmtId="165" formatCode="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4" formatCode="_(* #,##0_);_(* \(#,##0\);_(* &quot;-&quot;??_);_(@_)"/>
    </dxf>
    <dxf>
      <numFmt numFmtId="165" formatCode="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4" formatCode="_(* #,##0_);_(* \(#,##0\);_(* &quot;-&quot;??_);_(@_)"/>
    </dxf>
    <dxf>
      <numFmt numFmtId="165" formatCode="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4" formatCode="_(* #,##0_);_(* \(#,##0\);_(* &quot;-&quot;??_);_(@_)"/>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4" formatCode="_(* #,##0_);_(* \(#,##0\);_(* &quot;-&quot;??_);_(@_)"/>
    </dxf>
    <dxf>
      <numFmt numFmtId="165" formatCode="0.0"/>
    </dxf>
    <dxf>
      <numFmt numFmtId="165" formatCode="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4" formatCode="_(* #,##0_);_(* \(#,##0\);_(* &quot;-&quot;??_);_(@_)"/>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4" formatCode="_(* #,##0_);_(* \(#,##0\);_(* &quot;-&quot;??_);_(@_)"/>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4" formatCode="_(* #,##0_);_(* \(#,##0\);_(* &quot;-&quot;??_);_(@_)"/>
    </dxf>
    <dxf>
      <font>
        <b/>
        <i val="0"/>
        <sz val="14"/>
        <color rgb="FFFFFF66"/>
        <name val="Times New Roman"/>
        <family val="1"/>
        <scheme val="none"/>
      </font>
      <border>
        <bottom style="thin">
          <color theme="0" tint="-0.34998626667073579"/>
        </bottom>
        <vertical/>
        <horizontal/>
      </border>
    </dxf>
    <dxf>
      <font>
        <color theme="1"/>
      </font>
      <fill>
        <patternFill>
          <bgColor theme="1" tint="0.2499465926084170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rgb="FF4F81BD"/>
        </bottom>
        <vertical/>
        <horizontal/>
      </border>
    </dxf>
    <dxf>
      <font>
        <color theme="1"/>
      </font>
      <border>
        <left style="thin">
          <color rgb="FF4F81BD"/>
        </left>
        <right style="thin">
          <color rgb="FF4F81BD"/>
        </right>
        <top style="thin">
          <color rgb="FF4F81BD"/>
        </top>
        <bottom style="thin">
          <color rgb="FF4F81BD"/>
        </bottom>
        <vertical/>
        <horizontal/>
      </border>
    </dxf>
    <dxf>
      <numFmt numFmtId="165" formatCode="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fgColor rgb="FFE3B244"/>
          <bgColor theme="1" tint="0.34998626667073579"/>
        </patternFill>
      </fill>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s>
  <tableStyles count="3" defaultTableStyle="TableStyleMedium2" defaultPivotStyle="PivotStyleLight16">
    <tableStyle name="hr dashoard" pivot="0" table="0" count="10" xr9:uid="{1CB0EB59-DC3C-4981-A236-4C2BDBAE1972}">
      <tableStyleElement type="wholeTable" dxfId="133"/>
      <tableStyleElement type="headerRow" dxfId="132"/>
    </tableStyle>
    <tableStyle name="Slicer Style 1" pivot="0" table="0" count="4" xr9:uid="{126617E8-FD26-4D47-87C4-55603AE15E8A}">
      <tableStyleElement type="wholeTable" dxfId="145"/>
    </tableStyle>
    <tableStyle name="SlicerStyleOther1 2" pivot="0" table="0" count="10" xr9:uid="{3C45D88D-DDAD-4E1D-84B8-1B8FC6BDAB00}">
      <tableStyleElement type="wholeTable" dxfId="131"/>
      <tableStyleElement type="headerRow" dxfId="130"/>
    </tableStyle>
  </tableStyles>
  <colors>
    <mruColors>
      <color rgb="FFFFFF66"/>
      <color rgb="FF0C0900"/>
      <color rgb="FFDAA600"/>
      <color rgb="FFE3B244"/>
      <color rgb="FF333333"/>
      <color rgb="FFA19C5F"/>
      <color rgb="FF1C1C1C"/>
      <color rgb="FFFF9933"/>
      <color rgb="FFFFCC00"/>
      <color rgb="FFFF9900"/>
    </mruColors>
  </colors>
  <extLst>
    <ext xmlns:x14="http://schemas.microsoft.com/office/spreadsheetml/2009/9/main" uri="{46F421CA-312F-682f-3DD2-61675219B42D}">
      <x14:dxfs count="19">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ill>
            <patternFill>
              <bgColor rgb="FFFFFF66"/>
            </patternFill>
          </fill>
        </dxf>
        <dxf>
          <fill>
            <patternFill>
              <bgColor theme="2" tint="-9.9948118533890809E-2"/>
            </patternFill>
          </fill>
        </dxf>
        <dxf>
          <fill>
            <patternFill>
              <bgColor rgb="FFFFC000"/>
            </patternFill>
          </fill>
        </dxf>
      </x14:dxfs>
    </ext>
    <ext xmlns:x14="http://schemas.microsoft.com/office/spreadsheetml/2009/9/main" uri="{EB79DEF2-80B8-43e5-95BD-54CBDDF9020C}">
      <x14:slicerStyles defaultSlicerStyle="SlicerStyleLight1">
        <x14:slicerStyle name="hr dashoard">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x14:slicerStyleElements>
            <x14:slicerStyleElement type="selectedItemWithData" dxfId="18"/>
            <x14:slicerStyleElement type="selectedItemWithNoData" dxfId="17"/>
            <x14:slicerStyleElement type="hoveredSelectedItemWithData" dxfId="16"/>
          </x14:slicerStyleElements>
        </x14:slicerStyle>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718356556944594"/>
          <c:y val="7.691500610548764E-2"/>
          <c:w val="0.86972609842253878"/>
          <c:h val="0.79222164225347447"/>
        </c:manualLayout>
      </c:layout>
      <c:pieChart>
        <c:varyColors val="1"/>
        <c:ser>
          <c:idx val="0"/>
          <c:order val="0"/>
          <c:spPr>
            <a:ln>
              <a:solidFill>
                <a:srgbClr val="E3B244"/>
              </a:solidFill>
            </a:ln>
          </c:spPr>
          <c:explosion val="4"/>
          <c:dPt>
            <c:idx val="0"/>
            <c:bubble3D val="0"/>
            <c:spPr>
              <a:solidFill>
                <a:srgbClr val="E3B244"/>
              </a:solidFill>
              <a:ln>
                <a:solidFill>
                  <a:srgbClr val="E3B244"/>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6B7-4B54-92CC-89B59D5F0311}"/>
              </c:ext>
            </c:extLst>
          </c:dPt>
          <c:dPt>
            <c:idx val="1"/>
            <c:bubble3D val="0"/>
            <c:spPr>
              <a:solidFill>
                <a:schemeClr val="tx1">
                  <a:lumMod val="65000"/>
                  <a:lumOff val="35000"/>
                </a:schemeClr>
              </a:solidFill>
              <a:ln>
                <a:solidFill>
                  <a:schemeClr val="tx1">
                    <a:lumMod val="50000"/>
                    <a:lumOff val="50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6B7-4B54-92CC-89B59D5F0311}"/>
              </c:ext>
            </c:extLst>
          </c:dPt>
          <c:dPt>
            <c:idx val="2"/>
            <c:bubble3D val="0"/>
            <c:spPr>
              <a:solidFill>
                <a:schemeClr val="bg1"/>
              </a:solidFill>
              <a:ln>
                <a:solidFill>
                  <a:schemeClr val="tx1">
                    <a:lumMod val="75000"/>
                    <a:lumOff val="25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6B7-4B54-92CC-89B59D5F0311}"/>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Sheet3!$A$11:$A$13</c:f>
              <c:strCache>
                <c:ptCount val="3"/>
                <c:pt idx="0">
                  <c:v>Contract</c:v>
                </c:pt>
                <c:pt idx="1">
                  <c:v>Full-Time</c:v>
                </c:pt>
                <c:pt idx="2">
                  <c:v>Part-Time</c:v>
                </c:pt>
              </c:strCache>
            </c:strRef>
          </c:cat>
          <c:val>
            <c:numRef>
              <c:f>Sheet3!$B$11:$B$13</c:f>
              <c:numCache>
                <c:formatCode>General</c:formatCode>
                <c:ptCount val="3"/>
                <c:pt idx="0">
                  <c:v>17</c:v>
                </c:pt>
                <c:pt idx="1">
                  <c:v>20</c:v>
                </c:pt>
                <c:pt idx="2">
                  <c:v>13</c:v>
                </c:pt>
              </c:numCache>
            </c:numRef>
          </c:val>
          <c:extLst>
            <c:ext xmlns:c16="http://schemas.microsoft.com/office/drawing/2014/chart" uri="{C3380CC4-5D6E-409C-BE32-E72D297353CC}">
              <c16:uniqueId val="{00000006-C6B7-4B54-92CC-89B59D5F0311}"/>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table.xlsx]Sheet3!Age Range To Gender</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3B2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E3B244"/>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95000"/>
              <a:alpha val="96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475419823019259E-2"/>
          <c:y val="6.8508959686354232E-2"/>
          <c:w val="0.92998254475541575"/>
          <c:h val="0.78750914594077159"/>
        </c:manualLayout>
      </c:layout>
      <c:barChart>
        <c:barDir val="col"/>
        <c:grouping val="clustered"/>
        <c:varyColors val="0"/>
        <c:ser>
          <c:idx val="0"/>
          <c:order val="0"/>
          <c:tx>
            <c:strRef>
              <c:f>Sheet3!$H$3:$H$4</c:f>
              <c:strCache>
                <c:ptCount val="1"/>
                <c:pt idx="0">
                  <c:v>Female</c:v>
                </c:pt>
              </c:strCache>
            </c:strRef>
          </c:tx>
          <c:spPr>
            <a:solidFill>
              <a:srgbClr val="E3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E3B244"/>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Sheet3!$G$5:$G$10</c:f>
              <c:strCache>
                <c:ptCount val="5"/>
                <c:pt idx="0">
                  <c:v>18-25</c:v>
                </c:pt>
                <c:pt idx="1">
                  <c:v>26-35</c:v>
                </c:pt>
                <c:pt idx="2">
                  <c:v>36-45</c:v>
                </c:pt>
                <c:pt idx="3">
                  <c:v>46-55</c:v>
                </c:pt>
                <c:pt idx="4">
                  <c:v>56 &lt;</c:v>
                </c:pt>
              </c:strCache>
            </c:strRef>
          </c:cat>
          <c:val>
            <c:numRef>
              <c:f>Sheet3!$H$5:$H$10</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485D-4F7B-833D-317AB06C412B}"/>
            </c:ext>
          </c:extLst>
        </c:ser>
        <c:ser>
          <c:idx val="1"/>
          <c:order val="1"/>
          <c:tx>
            <c:strRef>
              <c:f>Sheet3!$I$3:$I$4</c:f>
              <c:strCache>
                <c:ptCount val="1"/>
                <c:pt idx="0">
                  <c:v>Male</c:v>
                </c:pt>
              </c:strCache>
            </c:strRef>
          </c:tx>
          <c:spPr>
            <a:solidFill>
              <a:schemeClr val="bg1">
                <a:lumMod val="95000"/>
                <a:alpha val="9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Sheet3!$G$5:$G$10</c:f>
              <c:strCache>
                <c:ptCount val="5"/>
                <c:pt idx="0">
                  <c:v>18-25</c:v>
                </c:pt>
                <c:pt idx="1">
                  <c:v>26-35</c:v>
                </c:pt>
                <c:pt idx="2">
                  <c:v>36-45</c:v>
                </c:pt>
                <c:pt idx="3">
                  <c:v>46-55</c:v>
                </c:pt>
                <c:pt idx="4">
                  <c:v>56 &lt;</c:v>
                </c:pt>
              </c:strCache>
            </c:strRef>
          </c:cat>
          <c:val>
            <c:numRef>
              <c:f>Sheet3!$I$5:$I$10</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2-138A-449F-9824-2B4B6E71EFB6}"/>
            </c:ext>
          </c:extLst>
        </c:ser>
        <c:dLbls>
          <c:dLblPos val="outEnd"/>
          <c:showLegendKey val="0"/>
          <c:showVal val="1"/>
          <c:showCatName val="0"/>
          <c:showSerName val="0"/>
          <c:showPercent val="0"/>
          <c:showBubbleSize val="0"/>
        </c:dLbls>
        <c:gapWidth val="219"/>
        <c:overlap val="-27"/>
        <c:axId val="291243744"/>
        <c:axId val="291248544"/>
      </c:barChart>
      <c:catAx>
        <c:axId val="29124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91248544"/>
        <c:crosses val="autoZero"/>
        <c:auto val="1"/>
        <c:lblAlgn val="ctr"/>
        <c:lblOffset val="100"/>
        <c:noMultiLvlLbl val="0"/>
      </c:catAx>
      <c:valAx>
        <c:axId val="291248544"/>
        <c:scaling>
          <c:orientation val="minMax"/>
        </c:scaling>
        <c:delete val="1"/>
        <c:axPos val="l"/>
        <c:majorGridlines>
          <c:spPr>
            <a:ln w="9525" cap="flat" cmpd="sng" algn="ctr">
              <a:solidFill>
                <a:srgbClr val="FDF449">
                  <a:alpha val="30000"/>
                </a:srgbClr>
              </a:solidFill>
              <a:prstDash val="lgDashDotDot"/>
              <a:round/>
            </a:ln>
            <a:effectLst/>
          </c:spPr>
        </c:majorGridlines>
        <c:numFmt formatCode="General" sourceLinked="1"/>
        <c:majorTickMark val="none"/>
        <c:minorTickMark val="none"/>
        <c:tickLblPos val="nextTo"/>
        <c:crossAx val="291243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9041480897839952E-2"/>
          <c:y val="5.4706949565342659E-2"/>
          <c:w val="0.87692378380310088"/>
          <c:h val="0.80908770073126168"/>
        </c:manualLayout>
      </c:layout>
      <c:barChart>
        <c:barDir val="bar"/>
        <c:grouping val="percentStacked"/>
        <c:varyColors val="0"/>
        <c:ser>
          <c:idx val="0"/>
          <c:order val="0"/>
          <c:spPr>
            <a:solidFill>
              <a:srgbClr val="E3B244"/>
            </a:solidFill>
            <a:ln>
              <a:noFill/>
            </a:ln>
            <a:effectLst/>
          </c:spPr>
          <c:invertIfNegative val="0"/>
          <c:val>
            <c:numRef>
              <c:f>Sheet3!$N$10</c:f>
              <c:numCache>
                <c:formatCode>0%</c:formatCode>
                <c:ptCount val="1"/>
                <c:pt idx="0">
                  <c:v>0.46</c:v>
                </c:pt>
              </c:numCache>
            </c:numRef>
          </c:val>
          <c:extLst>
            <c:ext xmlns:c16="http://schemas.microsoft.com/office/drawing/2014/chart" uri="{C3380CC4-5D6E-409C-BE32-E72D297353CC}">
              <c16:uniqueId val="{00000000-C274-4638-81FD-55AF9065DF11}"/>
            </c:ext>
          </c:extLst>
        </c:ser>
        <c:ser>
          <c:idx val="1"/>
          <c:order val="1"/>
          <c:spPr>
            <a:solidFill>
              <a:schemeClr val="bg1"/>
            </a:solidFill>
            <a:ln>
              <a:noFill/>
            </a:ln>
            <a:effectLst/>
          </c:spPr>
          <c:invertIfNegative val="0"/>
          <c:val>
            <c:numRef>
              <c:f>Sheet3!$O$10</c:f>
              <c:numCache>
                <c:formatCode>0%</c:formatCode>
                <c:ptCount val="1"/>
                <c:pt idx="0">
                  <c:v>0.54</c:v>
                </c:pt>
              </c:numCache>
            </c:numRef>
          </c:val>
          <c:extLst>
            <c:ext xmlns:c16="http://schemas.microsoft.com/office/drawing/2014/chart" uri="{C3380CC4-5D6E-409C-BE32-E72D297353CC}">
              <c16:uniqueId val="{00000001-C274-4638-81FD-55AF9065DF11}"/>
            </c:ext>
          </c:extLst>
        </c:ser>
        <c:dLbls>
          <c:showLegendKey val="0"/>
          <c:showVal val="0"/>
          <c:showCatName val="0"/>
          <c:showSerName val="0"/>
          <c:showPercent val="0"/>
          <c:showBubbleSize val="0"/>
        </c:dLbls>
        <c:gapWidth val="150"/>
        <c:overlap val="100"/>
        <c:axId val="291250944"/>
        <c:axId val="291239424"/>
      </c:barChart>
      <c:catAx>
        <c:axId val="291250944"/>
        <c:scaling>
          <c:orientation val="minMax"/>
        </c:scaling>
        <c:delete val="1"/>
        <c:axPos val="l"/>
        <c:majorTickMark val="none"/>
        <c:minorTickMark val="none"/>
        <c:tickLblPos val="nextTo"/>
        <c:crossAx val="291239424"/>
        <c:crosses val="autoZero"/>
        <c:auto val="1"/>
        <c:lblAlgn val="ctr"/>
        <c:lblOffset val="100"/>
        <c:noMultiLvlLbl val="0"/>
      </c:catAx>
      <c:valAx>
        <c:axId val="291239424"/>
        <c:scaling>
          <c:orientation val="minMax"/>
        </c:scaling>
        <c:delete val="1"/>
        <c:axPos val="b"/>
        <c:numFmt formatCode="0%" sourceLinked="1"/>
        <c:majorTickMark val="none"/>
        <c:minorTickMark val="none"/>
        <c:tickLblPos val="nextTo"/>
        <c:crossAx val="291250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144660636428714E-2"/>
          <c:y val="0.37791259150122097"/>
          <c:w val="0.85075609350484083"/>
          <c:h val="0.45940930191125673"/>
        </c:manualLayout>
      </c:layout>
      <c:barChart>
        <c:barDir val="bar"/>
        <c:grouping val="percentStacked"/>
        <c:varyColors val="0"/>
        <c:ser>
          <c:idx val="0"/>
          <c:order val="0"/>
          <c:spPr>
            <a:solidFill>
              <a:srgbClr val="E3B244"/>
            </a:solidFill>
            <a:ln>
              <a:noFill/>
            </a:ln>
            <a:effectLst/>
          </c:spPr>
          <c:invertIfNegative val="0"/>
          <c:val>
            <c:numRef>
              <c:f>Sheet3!$N$11</c:f>
              <c:numCache>
                <c:formatCode>0%</c:formatCode>
                <c:ptCount val="1"/>
                <c:pt idx="0">
                  <c:v>0.16</c:v>
                </c:pt>
              </c:numCache>
            </c:numRef>
          </c:val>
          <c:extLst>
            <c:ext xmlns:c16="http://schemas.microsoft.com/office/drawing/2014/chart" uri="{C3380CC4-5D6E-409C-BE32-E72D297353CC}">
              <c16:uniqueId val="{00000000-02FC-4A5B-B356-7C9D7F7DE4F5}"/>
            </c:ext>
          </c:extLst>
        </c:ser>
        <c:ser>
          <c:idx val="1"/>
          <c:order val="1"/>
          <c:spPr>
            <a:solidFill>
              <a:schemeClr val="bg1"/>
            </a:solidFill>
            <a:ln>
              <a:noFill/>
            </a:ln>
            <a:effectLst/>
          </c:spPr>
          <c:invertIfNegative val="0"/>
          <c:val>
            <c:numRef>
              <c:f>Sheet3!$O$11</c:f>
              <c:numCache>
                <c:formatCode>0%</c:formatCode>
                <c:ptCount val="1"/>
                <c:pt idx="0">
                  <c:v>0.84</c:v>
                </c:pt>
              </c:numCache>
            </c:numRef>
          </c:val>
          <c:extLst>
            <c:ext xmlns:c16="http://schemas.microsoft.com/office/drawing/2014/chart" uri="{C3380CC4-5D6E-409C-BE32-E72D297353CC}">
              <c16:uniqueId val="{00000001-02FC-4A5B-B356-7C9D7F7DE4F5}"/>
            </c:ext>
          </c:extLst>
        </c:ser>
        <c:dLbls>
          <c:showLegendKey val="0"/>
          <c:showVal val="0"/>
          <c:showCatName val="0"/>
          <c:showSerName val="0"/>
          <c:showPercent val="0"/>
          <c:showBubbleSize val="0"/>
        </c:dLbls>
        <c:gapWidth val="150"/>
        <c:overlap val="100"/>
        <c:axId val="72845776"/>
        <c:axId val="72846256"/>
      </c:barChart>
      <c:catAx>
        <c:axId val="72845776"/>
        <c:scaling>
          <c:orientation val="minMax"/>
        </c:scaling>
        <c:delete val="1"/>
        <c:axPos val="l"/>
        <c:majorTickMark val="none"/>
        <c:minorTickMark val="none"/>
        <c:tickLblPos val="nextTo"/>
        <c:crossAx val="72846256"/>
        <c:crosses val="autoZero"/>
        <c:auto val="1"/>
        <c:lblAlgn val="ctr"/>
        <c:lblOffset val="100"/>
        <c:noMultiLvlLbl val="0"/>
      </c:catAx>
      <c:valAx>
        <c:axId val="72846256"/>
        <c:scaling>
          <c:orientation val="minMax"/>
        </c:scaling>
        <c:delete val="1"/>
        <c:axPos val="b"/>
        <c:numFmt formatCode="0%" sourceLinked="1"/>
        <c:majorTickMark val="none"/>
        <c:minorTickMark val="none"/>
        <c:tickLblPos val="nextTo"/>
        <c:crossAx val="72845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614471347106659E-3"/>
          <c:y val="0.10802517463051402"/>
          <c:w val="0.9316640847071852"/>
          <c:h val="0.87224333209874849"/>
        </c:manualLayout>
      </c:layout>
      <c:barChart>
        <c:barDir val="bar"/>
        <c:grouping val="percentStacked"/>
        <c:varyColors val="0"/>
        <c:ser>
          <c:idx val="0"/>
          <c:order val="0"/>
          <c:spPr>
            <a:solidFill>
              <a:srgbClr val="E3B244"/>
            </a:solidFill>
            <a:ln>
              <a:noFill/>
            </a:ln>
            <a:effectLst/>
          </c:spPr>
          <c:invertIfNegative val="0"/>
          <c:val>
            <c:numRef>
              <c:f>Sheet3!$N$12</c:f>
              <c:numCache>
                <c:formatCode>0%</c:formatCode>
                <c:ptCount val="1"/>
                <c:pt idx="0">
                  <c:v>0.38</c:v>
                </c:pt>
              </c:numCache>
            </c:numRef>
          </c:val>
          <c:extLst>
            <c:ext xmlns:c16="http://schemas.microsoft.com/office/drawing/2014/chart" uri="{C3380CC4-5D6E-409C-BE32-E72D297353CC}">
              <c16:uniqueId val="{00000000-1992-49B5-A7AE-5740E65F2EDB}"/>
            </c:ext>
          </c:extLst>
        </c:ser>
        <c:ser>
          <c:idx val="1"/>
          <c:order val="1"/>
          <c:spPr>
            <a:solidFill>
              <a:schemeClr val="bg1"/>
            </a:solidFill>
            <a:ln>
              <a:noFill/>
            </a:ln>
            <a:effectLst/>
          </c:spPr>
          <c:invertIfNegative val="0"/>
          <c:val>
            <c:numRef>
              <c:f>Sheet3!$O$12</c:f>
              <c:numCache>
                <c:formatCode>0%</c:formatCode>
                <c:ptCount val="1"/>
                <c:pt idx="0">
                  <c:v>0.62</c:v>
                </c:pt>
              </c:numCache>
            </c:numRef>
          </c:val>
          <c:extLst>
            <c:ext xmlns:c16="http://schemas.microsoft.com/office/drawing/2014/chart" uri="{C3380CC4-5D6E-409C-BE32-E72D297353CC}">
              <c16:uniqueId val="{00000001-1992-49B5-A7AE-5740E65F2EDB}"/>
            </c:ext>
          </c:extLst>
        </c:ser>
        <c:dLbls>
          <c:showLegendKey val="0"/>
          <c:showVal val="0"/>
          <c:showCatName val="0"/>
          <c:showSerName val="0"/>
          <c:showPercent val="0"/>
          <c:showBubbleSize val="0"/>
        </c:dLbls>
        <c:gapWidth val="150"/>
        <c:overlap val="100"/>
        <c:axId val="291250464"/>
        <c:axId val="229998768"/>
      </c:barChart>
      <c:catAx>
        <c:axId val="291250464"/>
        <c:scaling>
          <c:orientation val="minMax"/>
        </c:scaling>
        <c:delete val="1"/>
        <c:axPos val="l"/>
        <c:majorTickMark val="none"/>
        <c:minorTickMark val="none"/>
        <c:tickLblPos val="nextTo"/>
        <c:crossAx val="229998768"/>
        <c:crosses val="autoZero"/>
        <c:auto val="1"/>
        <c:lblAlgn val="ctr"/>
        <c:lblOffset val="100"/>
        <c:noMultiLvlLbl val="0"/>
      </c:catAx>
      <c:valAx>
        <c:axId val="229998768"/>
        <c:scaling>
          <c:orientation val="minMax"/>
        </c:scaling>
        <c:delete val="1"/>
        <c:axPos val="b"/>
        <c:numFmt formatCode="0%" sourceLinked="1"/>
        <c:majorTickMark val="none"/>
        <c:minorTickMark val="none"/>
        <c:tickLblPos val="nextTo"/>
        <c:crossAx val="291250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480153462916158"/>
          <c:y val="0.16686730495140392"/>
          <c:w val="0.74773715486482251"/>
          <c:h val="0.80100905643821885"/>
        </c:manualLayout>
      </c:layout>
      <c:doughnutChart>
        <c:varyColors val="1"/>
        <c:ser>
          <c:idx val="0"/>
          <c:order val="0"/>
          <c:spPr>
            <a:solidFill>
              <a:srgbClr val="E3B244"/>
            </a:solidFill>
            <a:ln>
              <a:noFill/>
            </a:ln>
          </c:spPr>
          <c:dPt>
            <c:idx val="0"/>
            <c:bubble3D val="0"/>
            <c:spPr>
              <a:solidFill>
                <a:srgbClr val="E3B244"/>
              </a:solidFill>
              <a:ln w="19050">
                <a:noFill/>
              </a:ln>
              <a:effectLst/>
            </c:spPr>
            <c:extLst>
              <c:ext xmlns:c16="http://schemas.microsoft.com/office/drawing/2014/chart" uri="{C3380CC4-5D6E-409C-BE32-E72D297353CC}">
                <c16:uniqueId val="{00000001-6676-4C58-9E87-1F24E6CD8012}"/>
              </c:ext>
            </c:extLst>
          </c:dPt>
          <c:dPt>
            <c:idx val="1"/>
            <c:bubble3D val="0"/>
            <c:spPr>
              <a:solidFill>
                <a:schemeClr val="tx1">
                  <a:lumMod val="65000"/>
                  <a:lumOff val="35000"/>
                </a:schemeClr>
              </a:solidFill>
              <a:ln w="19050">
                <a:noFill/>
              </a:ln>
              <a:effectLst/>
            </c:spPr>
            <c:extLst>
              <c:ext xmlns:c16="http://schemas.microsoft.com/office/drawing/2014/chart" uri="{C3380CC4-5D6E-409C-BE32-E72D297353CC}">
                <c16:uniqueId val="{00000003-6676-4C58-9E87-1F24E6CD8012}"/>
              </c:ext>
            </c:extLst>
          </c:dPt>
          <c:val>
            <c:numRef>
              <c:f>Sheet3!$I$21:$J$21</c:f>
              <c:numCache>
                <c:formatCode>0%</c:formatCode>
                <c:ptCount val="2"/>
                <c:pt idx="0">
                  <c:v>0.48</c:v>
                </c:pt>
                <c:pt idx="1">
                  <c:v>0.52</c:v>
                </c:pt>
              </c:numCache>
            </c:numRef>
          </c:val>
          <c:extLst>
            <c:ext xmlns:c16="http://schemas.microsoft.com/office/drawing/2014/chart" uri="{C3380CC4-5D6E-409C-BE32-E72D297353CC}">
              <c16:uniqueId val="{00000004-6676-4C58-9E87-1F24E6CD801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516670431961128"/>
          <c:y val="9.2638054445626242E-2"/>
          <c:w val="0.72233900092004144"/>
          <c:h val="0.90736196519299683"/>
        </c:manualLayout>
      </c:layout>
      <c:doughnutChart>
        <c:varyColors val="1"/>
        <c:ser>
          <c:idx val="0"/>
          <c:order val="0"/>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CFF5-4A42-8D51-2C9E01BDE995}"/>
              </c:ext>
            </c:extLst>
          </c:dPt>
          <c:dPt>
            <c:idx val="1"/>
            <c:bubble3D val="0"/>
            <c:spPr>
              <a:solidFill>
                <a:schemeClr val="tx1">
                  <a:lumMod val="65000"/>
                  <a:lumOff val="35000"/>
                </a:schemeClr>
              </a:solidFill>
              <a:ln w="19050">
                <a:noFill/>
              </a:ln>
              <a:effectLst/>
            </c:spPr>
            <c:extLst>
              <c:ext xmlns:c16="http://schemas.microsoft.com/office/drawing/2014/chart" uri="{C3380CC4-5D6E-409C-BE32-E72D297353CC}">
                <c16:uniqueId val="{00000003-CFF5-4A42-8D51-2C9E01BDE995}"/>
              </c:ext>
            </c:extLst>
          </c:dPt>
          <c:val>
            <c:numRef>
              <c:f>Sheet3!$I$20:$J$20</c:f>
              <c:numCache>
                <c:formatCode>0%</c:formatCode>
                <c:ptCount val="2"/>
                <c:pt idx="0">
                  <c:v>0.52</c:v>
                </c:pt>
                <c:pt idx="1">
                  <c:v>0.48</c:v>
                </c:pt>
              </c:numCache>
            </c:numRef>
          </c:val>
          <c:extLst>
            <c:ext xmlns:c16="http://schemas.microsoft.com/office/drawing/2014/chart" uri="{C3380CC4-5D6E-409C-BE32-E72D297353CC}">
              <c16:uniqueId val="{00000004-CFF5-4A42-8D51-2C9E01BDE99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6579304734821754E-2"/>
          <c:y val="0.10575109395550329"/>
          <c:w val="0.88846641318124209"/>
          <c:h val="0.67320898689918096"/>
        </c:manualLayout>
      </c:layout>
      <c:barChart>
        <c:barDir val="col"/>
        <c:grouping val="clustered"/>
        <c:varyColors val="0"/>
        <c:ser>
          <c:idx val="0"/>
          <c:order val="0"/>
          <c:tx>
            <c:v>Series1</c:v>
          </c:tx>
          <c:spPr>
            <a:solidFill>
              <a:srgbClr val="FDF449"/>
            </a:solidFill>
            <a:ln>
              <a:noFill/>
            </a:ln>
            <a:effectLst/>
          </c:spPr>
          <c:invertIfNegative val="0"/>
          <c:dPt>
            <c:idx val="0"/>
            <c:invertIfNegative val="0"/>
            <c:bubble3D val="0"/>
            <c:spPr>
              <a:solidFill>
                <a:srgbClr val="F7EEBB"/>
              </a:solidFill>
              <a:ln>
                <a:noFill/>
              </a:ln>
              <a:effectLst/>
            </c:spPr>
            <c:extLst>
              <c:ext xmlns:c16="http://schemas.microsoft.com/office/drawing/2014/chart" uri="{C3380CC4-5D6E-409C-BE32-E72D297353CC}">
                <c16:uniqueId val="{00000001-FF9E-4D87-83D3-8A6AC8FEE27C}"/>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3-FF9E-4D87-83D3-8A6AC8FEE27C}"/>
              </c:ext>
            </c:extLst>
          </c:dPt>
          <c:dPt>
            <c:idx val="2"/>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5-FF9E-4D87-83D3-8A6AC8FEE27C}"/>
              </c:ext>
            </c:extLst>
          </c:dPt>
          <c:dPt>
            <c:idx val="3"/>
            <c:invertIfNegative val="0"/>
            <c:bubble3D val="0"/>
            <c:spPr>
              <a:solidFill>
                <a:srgbClr val="E3B244"/>
              </a:solidFill>
              <a:ln>
                <a:noFill/>
              </a:ln>
              <a:effectLst/>
            </c:spPr>
            <c:extLst>
              <c:ext xmlns:c16="http://schemas.microsoft.com/office/drawing/2014/chart" uri="{C3380CC4-5D6E-409C-BE32-E72D297353CC}">
                <c16:uniqueId val="{00000007-FF9E-4D87-83D3-8A6AC8FEE27C}"/>
              </c:ext>
            </c:extLst>
          </c:dPt>
          <c:cat>
            <c:numLit>
              <c:formatCode>General</c:formatCode>
              <c:ptCount val="5"/>
              <c:pt idx="0">
                <c:v>1</c:v>
              </c:pt>
              <c:pt idx="1">
                <c:v>2</c:v>
              </c:pt>
              <c:pt idx="2">
                <c:v>3</c:v>
              </c:pt>
              <c:pt idx="3">
                <c:v>4</c:v>
              </c:pt>
              <c:pt idx="4">
                <c:v>5</c:v>
              </c:pt>
            </c:numLit>
          </c:cat>
          <c:val>
            <c:numLit>
              <c:formatCode>General</c:formatCode>
              <c:ptCount val="5"/>
              <c:pt idx="0">
                <c:v>28</c:v>
              </c:pt>
              <c:pt idx="1">
                <c:v>110</c:v>
              </c:pt>
              <c:pt idx="2">
                <c:v>104</c:v>
              </c:pt>
              <c:pt idx="3">
                <c:v>123</c:v>
              </c:pt>
              <c:pt idx="4">
                <c:v>122</c:v>
              </c:pt>
            </c:numLit>
          </c:val>
          <c:extLst>
            <c:ext xmlns:c16="http://schemas.microsoft.com/office/drawing/2014/chart" uri="{C3380CC4-5D6E-409C-BE32-E72D297353CC}">
              <c16:uniqueId val="{00000008-FF9E-4D87-83D3-8A6AC8FEE27C}"/>
            </c:ext>
          </c:extLst>
        </c:ser>
        <c:dLbls>
          <c:showLegendKey val="0"/>
          <c:showVal val="0"/>
          <c:showCatName val="0"/>
          <c:showSerName val="0"/>
          <c:showPercent val="0"/>
          <c:showBubbleSize val="0"/>
        </c:dLbls>
        <c:gapWidth val="77"/>
        <c:overlap val="23"/>
        <c:axId val="236595135"/>
        <c:axId val="236596095"/>
      </c:barChart>
      <c:catAx>
        <c:axId val="236595135"/>
        <c:scaling>
          <c:orientation val="minMax"/>
        </c:scaling>
        <c:delete val="1"/>
        <c:axPos val="b"/>
        <c:numFmt formatCode="General" sourceLinked="1"/>
        <c:majorTickMark val="none"/>
        <c:minorTickMark val="none"/>
        <c:tickLblPos val="nextTo"/>
        <c:crossAx val="236596095"/>
        <c:crosses val="autoZero"/>
        <c:auto val="1"/>
        <c:lblAlgn val="ctr"/>
        <c:lblOffset val="100"/>
        <c:noMultiLvlLbl val="0"/>
      </c:catAx>
      <c:valAx>
        <c:axId val="236596095"/>
        <c:scaling>
          <c:orientation val="minMax"/>
        </c:scaling>
        <c:delete val="1"/>
        <c:axPos val="l"/>
        <c:majorGridlines>
          <c:spPr>
            <a:ln w="9525" cap="flat" cmpd="sng" algn="ctr">
              <a:solidFill>
                <a:schemeClr val="tx1">
                  <a:lumMod val="15000"/>
                  <a:lumOff val="85000"/>
                  <a:alpha val="0"/>
                </a:schemeClr>
              </a:solidFill>
              <a:prstDash val="lgDashDotDot"/>
              <a:round/>
            </a:ln>
            <a:effectLst/>
          </c:spPr>
        </c:majorGridlines>
        <c:numFmt formatCode="General" sourceLinked="1"/>
        <c:majorTickMark val="none"/>
        <c:minorTickMark val="none"/>
        <c:tickLblPos val="nextTo"/>
        <c:crossAx val="236595135"/>
        <c:crosses val="autoZero"/>
        <c:crossBetween val="between"/>
      </c:valAx>
      <c:spPr>
        <a:noFill/>
        <a:ln>
          <a:solidFill>
            <a:srgbClr val="E3B244">
              <a:alpha val="9000"/>
            </a:srgbClr>
          </a:solidFill>
          <a:prstDash val="lgDashDotDot"/>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table.xlsx]Sheet3!Region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61180351044343"/>
          <c:y val="3.3938272678382231E-2"/>
          <c:w val="0.74622976875915059"/>
          <c:h val="0.92561999439662257"/>
        </c:manualLayout>
      </c:layout>
      <c:barChart>
        <c:barDir val="bar"/>
        <c:grouping val="clustered"/>
        <c:varyColors val="0"/>
        <c:ser>
          <c:idx val="0"/>
          <c:order val="0"/>
          <c:tx>
            <c:strRef>
              <c:f>Sheet3!$U$3</c:f>
              <c:strCache>
                <c:ptCount val="1"/>
                <c:pt idx="0">
                  <c:v>Total</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Sheet3!$T$4:$T$9</c:f>
              <c:strCache>
                <c:ptCount val="5"/>
                <c:pt idx="0">
                  <c:v>Central</c:v>
                </c:pt>
                <c:pt idx="1">
                  <c:v>East</c:v>
                </c:pt>
                <c:pt idx="2">
                  <c:v>North</c:v>
                </c:pt>
                <c:pt idx="3">
                  <c:v>South</c:v>
                </c:pt>
                <c:pt idx="4">
                  <c:v>West</c:v>
                </c:pt>
              </c:strCache>
            </c:strRef>
          </c:cat>
          <c:val>
            <c:numRef>
              <c:f>Sheet3!$U$4:$U$9</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0288-4EA0-A10D-EEB9620909F3}"/>
            </c:ext>
          </c:extLst>
        </c:ser>
        <c:dLbls>
          <c:dLblPos val="outEnd"/>
          <c:showLegendKey val="0"/>
          <c:showVal val="1"/>
          <c:showCatName val="0"/>
          <c:showSerName val="0"/>
          <c:showPercent val="0"/>
          <c:showBubbleSize val="0"/>
        </c:dLbls>
        <c:gapWidth val="25"/>
        <c:axId val="129263663"/>
        <c:axId val="129265103"/>
      </c:barChart>
      <c:catAx>
        <c:axId val="129263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29265103"/>
        <c:crosses val="autoZero"/>
        <c:auto val="1"/>
        <c:lblAlgn val="ctr"/>
        <c:lblOffset val="100"/>
        <c:noMultiLvlLbl val="0"/>
      </c:catAx>
      <c:valAx>
        <c:axId val="129265103"/>
        <c:scaling>
          <c:orientation val="minMax"/>
        </c:scaling>
        <c:delete val="1"/>
        <c:axPos val="b"/>
        <c:numFmt formatCode="General" sourceLinked="1"/>
        <c:majorTickMark val="none"/>
        <c:minorTickMark val="none"/>
        <c:tickLblPos val="nextTo"/>
        <c:crossAx val="129263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59730</xdr:colOff>
      <xdr:row>32</xdr:row>
      <xdr:rowOff>57108</xdr:rowOff>
    </xdr:to>
    <xdr:sp macro="" textlink="">
      <xdr:nvSpPr>
        <xdr:cNvPr id="2" name="Rectangle: Rounded Corners 1">
          <a:extLst>
            <a:ext uri="{FF2B5EF4-FFF2-40B4-BE49-F238E27FC236}">
              <a16:creationId xmlns:a16="http://schemas.microsoft.com/office/drawing/2014/main" id="{00000000-0008-0000-0200-000002000000}"/>
            </a:ext>
          </a:extLst>
        </xdr:cNvPr>
        <xdr:cNvSpPr/>
      </xdr:nvSpPr>
      <xdr:spPr>
        <a:xfrm>
          <a:off x="0" y="0"/>
          <a:ext cx="10382449" cy="6224546"/>
        </a:xfrm>
        <a:prstGeom prst="roundRect">
          <a:avLst>
            <a:gd name="adj" fmla="val 2528"/>
          </a:avLst>
        </a:prstGeom>
        <a:solidFill>
          <a:srgbClr val="2F37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140248</xdr:colOff>
      <xdr:row>22</xdr:row>
      <xdr:rowOff>115577</xdr:rowOff>
    </xdr:from>
    <xdr:to>
      <xdr:col>3</xdr:col>
      <xdr:colOff>219448</xdr:colOff>
      <xdr:row>32</xdr:row>
      <xdr:rowOff>8437</xdr:rowOff>
    </xdr:to>
    <xdr:sp macro="" textlink="">
      <xdr:nvSpPr>
        <xdr:cNvPr id="4" name="Rectangle: Rounded Corners 3">
          <a:extLst>
            <a:ext uri="{FF2B5EF4-FFF2-40B4-BE49-F238E27FC236}">
              <a16:creationId xmlns:a16="http://schemas.microsoft.com/office/drawing/2014/main" id="{00000000-0008-0000-0200-000004000000}"/>
            </a:ext>
          </a:extLst>
        </xdr:cNvPr>
        <xdr:cNvSpPr/>
      </xdr:nvSpPr>
      <xdr:spPr>
        <a:xfrm>
          <a:off x="140248" y="4270448"/>
          <a:ext cx="1902088" cy="1781437"/>
        </a:xfrm>
        <a:prstGeom prst="roundRect">
          <a:avLst>
            <a:gd name="adj" fmla="val 4761"/>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50000"/>
                <a:lumOff val="50000"/>
              </a:schemeClr>
            </a:solidFill>
          </a:endParaRPr>
        </a:p>
      </xdr:txBody>
    </xdr:sp>
    <xdr:clientData/>
  </xdr:twoCellAnchor>
  <xdr:twoCellAnchor>
    <xdr:from>
      <xdr:col>0</xdr:col>
      <xdr:colOff>152400</xdr:colOff>
      <xdr:row>8</xdr:row>
      <xdr:rowOff>83344</xdr:rowOff>
    </xdr:from>
    <xdr:to>
      <xdr:col>3</xdr:col>
      <xdr:colOff>231600</xdr:colOff>
      <xdr:row>21</xdr:row>
      <xdr:rowOff>90018</xdr:rowOff>
    </xdr:to>
    <xdr:sp macro="" textlink="">
      <xdr:nvSpPr>
        <xdr:cNvPr id="5" name="Rectangle: Rounded Corners 4">
          <a:extLst>
            <a:ext uri="{FF2B5EF4-FFF2-40B4-BE49-F238E27FC236}">
              <a16:creationId xmlns:a16="http://schemas.microsoft.com/office/drawing/2014/main" id="{00000000-0008-0000-0200-000005000000}"/>
            </a:ext>
          </a:extLst>
        </xdr:cNvPr>
        <xdr:cNvSpPr/>
      </xdr:nvSpPr>
      <xdr:spPr>
        <a:xfrm>
          <a:off x="152400" y="1607344"/>
          <a:ext cx="1900856" cy="2554612"/>
        </a:xfrm>
        <a:prstGeom prst="roundRect">
          <a:avLst>
            <a:gd name="adj" fmla="val 4761"/>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50000"/>
                <a:lumOff val="50000"/>
              </a:schemeClr>
            </a:solidFill>
          </a:endParaRPr>
        </a:p>
      </xdr:txBody>
    </xdr:sp>
    <xdr:clientData/>
  </xdr:twoCellAnchor>
  <xdr:twoCellAnchor>
    <xdr:from>
      <xdr:col>3</xdr:col>
      <xdr:colOff>380999</xdr:colOff>
      <xdr:row>19</xdr:row>
      <xdr:rowOff>131729</xdr:rowOff>
    </xdr:from>
    <xdr:to>
      <xdr:col>7</xdr:col>
      <xdr:colOff>390599</xdr:colOff>
      <xdr:row>32</xdr:row>
      <xdr:rowOff>57108</xdr:rowOff>
    </xdr:to>
    <xdr:sp macro="" textlink="">
      <xdr:nvSpPr>
        <xdr:cNvPr id="6" name="Rectangle: Rounded Corners 5">
          <a:extLst>
            <a:ext uri="{FF2B5EF4-FFF2-40B4-BE49-F238E27FC236}">
              <a16:creationId xmlns:a16="http://schemas.microsoft.com/office/drawing/2014/main" id="{00000000-0008-0000-0200-000006000000}"/>
            </a:ext>
          </a:extLst>
        </xdr:cNvPr>
        <xdr:cNvSpPr/>
      </xdr:nvSpPr>
      <xdr:spPr>
        <a:xfrm>
          <a:off x="2204935" y="3850532"/>
          <a:ext cx="2441515" cy="2428225"/>
        </a:xfrm>
        <a:prstGeom prst="roundRect">
          <a:avLst>
            <a:gd name="adj" fmla="val 4761"/>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50000"/>
                <a:lumOff val="50000"/>
              </a:schemeClr>
            </a:solidFill>
          </a:endParaRPr>
        </a:p>
      </xdr:txBody>
    </xdr:sp>
    <xdr:clientData/>
  </xdr:twoCellAnchor>
  <xdr:twoCellAnchor>
    <xdr:from>
      <xdr:col>7</xdr:col>
      <xdr:colOff>580927</xdr:colOff>
      <xdr:row>19</xdr:row>
      <xdr:rowOff>103683</xdr:rowOff>
    </xdr:from>
    <xdr:to>
      <xdr:col>11</xdr:col>
      <xdr:colOff>590527</xdr:colOff>
      <xdr:row>32</xdr:row>
      <xdr:rowOff>57108</xdr:rowOff>
    </xdr:to>
    <xdr:sp macro="" textlink="">
      <xdr:nvSpPr>
        <xdr:cNvPr id="7" name="Rectangle: Rounded Corners 6">
          <a:extLst>
            <a:ext uri="{FF2B5EF4-FFF2-40B4-BE49-F238E27FC236}">
              <a16:creationId xmlns:a16="http://schemas.microsoft.com/office/drawing/2014/main" id="{00000000-0008-0000-0200-000007000000}"/>
            </a:ext>
          </a:extLst>
        </xdr:cNvPr>
        <xdr:cNvSpPr/>
      </xdr:nvSpPr>
      <xdr:spPr>
        <a:xfrm>
          <a:off x="4831458" y="3794621"/>
          <a:ext cx="2438475" cy="2429925"/>
        </a:xfrm>
        <a:prstGeom prst="roundRect">
          <a:avLst>
            <a:gd name="adj" fmla="val 4761"/>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50000"/>
                <a:lumOff val="50000"/>
              </a:schemeClr>
            </a:solidFill>
          </a:endParaRPr>
        </a:p>
      </xdr:txBody>
    </xdr:sp>
    <xdr:clientData/>
  </xdr:twoCellAnchor>
  <xdr:twoCellAnchor>
    <xdr:from>
      <xdr:col>8</xdr:col>
      <xdr:colOff>15477</xdr:colOff>
      <xdr:row>5</xdr:row>
      <xdr:rowOff>142873</xdr:rowOff>
    </xdr:from>
    <xdr:to>
      <xdr:col>12</xdr:col>
      <xdr:colOff>25077</xdr:colOff>
      <xdr:row>18</xdr:row>
      <xdr:rowOff>100012</xdr:rowOff>
    </xdr:to>
    <xdr:sp macro="" textlink="">
      <xdr:nvSpPr>
        <xdr:cNvPr id="8" name="Rectangle: Rounded Corners 7">
          <a:extLst>
            <a:ext uri="{FF2B5EF4-FFF2-40B4-BE49-F238E27FC236}">
              <a16:creationId xmlns:a16="http://schemas.microsoft.com/office/drawing/2014/main" id="{00000000-0008-0000-0200-000008000000}"/>
            </a:ext>
          </a:extLst>
        </xdr:cNvPr>
        <xdr:cNvSpPr/>
      </xdr:nvSpPr>
      <xdr:spPr>
        <a:xfrm>
          <a:off x="4853572" y="1125611"/>
          <a:ext cx="2428648" cy="2572734"/>
        </a:xfrm>
        <a:prstGeom prst="roundRect">
          <a:avLst>
            <a:gd name="adj" fmla="val 4761"/>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50000"/>
                <a:lumOff val="50000"/>
              </a:schemeClr>
            </a:solidFill>
          </a:endParaRPr>
        </a:p>
      </xdr:txBody>
    </xdr:sp>
    <xdr:clientData/>
  </xdr:twoCellAnchor>
  <xdr:twoCellAnchor>
    <xdr:from>
      <xdr:col>3</xdr:col>
      <xdr:colOff>424483</xdr:colOff>
      <xdr:row>5</xdr:row>
      <xdr:rowOff>178592</xdr:rowOff>
    </xdr:from>
    <xdr:to>
      <xdr:col>7</xdr:col>
      <xdr:colOff>434083</xdr:colOff>
      <xdr:row>12</xdr:row>
      <xdr:rowOff>76200</xdr:rowOff>
    </xdr:to>
    <xdr:sp macro="" textlink="">
      <xdr:nvSpPr>
        <xdr:cNvPr id="9" name="Rectangle: Rounded Corners 8">
          <a:extLst>
            <a:ext uri="{FF2B5EF4-FFF2-40B4-BE49-F238E27FC236}">
              <a16:creationId xmlns:a16="http://schemas.microsoft.com/office/drawing/2014/main" id="{00000000-0008-0000-0200-000009000000}"/>
            </a:ext>
          </a:extLst>
        </xdr:cNvPr>
        <xdr:cNvSpPr/>
      </xdr:nvSpPr>
      <xdr:spPr>
        <a:xfrm>
          <a:off x="2257010" y="1110385"/>
          <a:ext cx="2452970" cy="1202119"/>
        </a:xfrm>
        <a:prstGeom prst="roundRect">
          <a:avLst>
            <a:gd name="adj" fmla="val 4761"/>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50000"/>
                <a:lumOff val="50000"/>
              </a:schemeClr>
            </a:solidFill>
          </a:endParaRPr>
        </a:p>
      </xdr:txBody>
    </xdr:sp>
    <xdr:clientData/>
  </xdr:twoCellAnchor>
  <xdr:twoCellAnchor>
    <xdr:from>
      <xdr:col>5</xdr:col>
      <xdr:colOff>478703</xdr:colOff>
      <xdr:row>12</xdr:row>
      <xdr:rowOff>183357</xdr:rowOff>
    </xdr:from>
    <xdr:to>
      <xdr:col>7</xdr:col>
      <xdr:colOff>390599</xdr:colOff>
      <xdr:row>19</xdr:row>
      <xdr:rowOff>48920</xdr:rowOff>
    </xdr:to>
    <xdr:sp macro="" textlink="">
      <xdr:nvSpPr>
        <xdr:cNvPr id="10" name="Rectangle: Rounded Corners 9">
          <a:extLst>
            <a:ext uri="{FF2B5EF4-FFF2-40B4-BE49-F238E27FC236}">
              <a16:creationId xmlns:a16="http://schemas.microsoft.com/office/drawing/2014/main" id="{00000000-0008-0000-0200-00000A000000}"/>
            </a:ext>
          </a:extLst>
        </xdr:cNvPr>
        <xdr:cNvSpPr/>
      </xdr:nvSpPr>
      <xdr:spPr>
        <a:xfrm>
          <a:off x="3526703" y="2469357"/>
          <a:ext cx="1131096" cy="1199063"/>
        </a:xfrm>
        <a:prstGeom prst="roundRect">
          <a:avLst>
            <a:gd name="adj" fmla="val 4761"/>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50000"/>
                <a:lumOff val="50000"/>
              </a:schemeClr>
            </a:solidFill>
          </a:endParaRPr>
        </a:p>
      </xdr:txBody>
    </xdr:sp>
    <xdr:clientData/>
  </xdr:twoCellAnchor>
  <xdr:twoCellAnchor>
    <xdr:from>
      <xdr:col>3</xdr:col>
      <xdr:colOff>412027</xdr:colOff>
      <xdr:row>12</xdr:row>
      <xdr:rowOff>169069</xdr:rowOff>
    </xdr:from>
    <xdr:to>
      <xdr:col>5</xdr:col>
      <xdr:colOff>323923</xdr:colOff>
      <xdr:row>19</xdr:row>
      <xdr:rowOff>34632</xdr:rowOff>
    </xdr:to>
    <xdr:sp macro="" textlink="">
      <xdr:nvSpPr>
        <xdr:cNvPr id="11" name="Rectangle: Rounded Corners 10">
          <a:extLst>
            <a:ext uri="{FF2B5EF4-FFF2-40B4-BE49-F238E27FC236}">
              <a16:creationId xmlns:a16="http://schemas.microsoft.com/office/drawing/2014/main" id="{00000000-0008-0000-0200-00000B000000}"/>
            </a:ext>
          </a:extLst>
        </xdr:cNvPr>
        <xdr:cNvSpPr/>
      </xdr:nvSpPr>
      <xdr:spPr>
        <a:xfrm>
          <a:off x="2240827" y="2455069"/>
          <a:ext cx="1131096" cy="1199063"/>
        </a:xfrm>
        <a:prstGeom prst="roundRect">
          <a:avLst>
            <a:gd name="adj" fmla="val 4761"/>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50000"/>
                <a:lumOff val="50000"/>
              </a:schemeClr>
            </a:solidFill>
          </a:endParaRPr>
        </a:p>
      </xdr:txBody>
    </xdr:sp>
    <xdr:clientData/>
  </xdr:twoCellAnchor>
  <xdr:twoCellAnchor>
    <xdr:from>
      <xdr:col>12</xdr:col>
      <xdr:colOff>182125</xdr:colOff>
      <xdr:row>25</xdr:row>
      <xdr:rowOff>152849</xdr:rowOff>
    </xdr:from>
    <xdr:to>
      <xdr:col>14</xdr:col>
      <xdr:colOff>237747</xdr:colOff>
      <xdr:row>32</xdr:row>
      <xdr:rowOff>8437</xdr:rowOff>
    </xdr:to>
    <xdr:sp macro="" textlink="">
      <xdr:nvSpPr>
        <xdr:cNvPr id="12" name="Rectangle: Rounded Corners 11">
          <a:extLst>
            <a:ext uri="{FF2B5EF4-FFF2-40B4-BE49-F238E27FC236}">
              <a16:creationId xmlns:a16="http://schemas.microsoft.com/office/drawing/2014/main" id="{00000000-0008-0000-0200-00000C000000}"/>
            </a:ext>
          </a:extLst>
        </xdr:cNvPr>
        <xdr:cNvSpPr/>
      </xdr:nvSpPr>
      <xdr:spPr>
        <a:xfrm>
          <a:off x="7468750" y="4986787"/>
          <a:ext cx="1270060" cy="1189088"/>
        </a:xfrm>
        <a:prstGeom prst="roundRect">
          <a:avLst>
            <a:gd name="adj" fmla="val 4761"/>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50000"/>
                <a:lumOff val="50000"/>
              </a:schemeClr>
            </a:solidFill>
          </a:endParaRPr>
        </a:p>
      </xdr:txBody>
    </xdr:sp>
    <xdr:clientData/>
  </xdr:twoCellAnchor>
  <xdr:twoCellAnchor>
    <xdr:from>
      <xdr:col>14</xdr:col>
      <xdr:colOff>446820</xdr:colOff>
      <xdr:row>25</xdr:row>
      <xdr:rowOff>152849</xdr:rowOff>
    </xdr:from>
    <xdr:to>
      <xdr:col>16</xdr:col>
      <xdr:colOff>502442</xdr:colOff>
      <xdr:row>32</xdr:row>
      <xdr:rowOff>8437</xdr:rowOff>
    </xdr:to>
    <xdr:sp macro="" textlink="">
      <xdr:nvSpPr>
        <xdr:cNvPr id="13" name="Rectangle: Rounded Corners 12">
          <a:extLst>
            <a:ext uri="{FF2B5EF4-FFF2-40B4-BE49-F238E27FC236}">
              <a16:creationId xmlns:a16="http://schemas.microsoft.com/office/drawing/2014/main" id="{00000000-0008-0000-0200-00000D000000}"/>
            </a:ext>
          </a:extLst>
        </xdr:cNvPr>
        <xdr:cNvSpPr/>
      </xdr:nvSpPr>
      <xdr:spPr>
        <a:xfrm>
          <a:off x="8947883" y="4986787"/>
          <a:ext cx="1270059" cy="1189088"/>
        </a:xfrm>
        <a:prstGeom prst="roundRect">
          <a:avLst>
            <a:gd name="adj" fmla="val 4761"/>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50000"/>
                <a:lumOff val="50000"/>
              </a:schemeClr>
            </a:solidFill>
          </a:endParaRPr>
        </a:p>
      </xdr:txBody>
    </xdr:sp>
    <xdr:clientData/>
  </xdr:twoCellAnchor>
  <xdr:twoCellAnchor>
    <xdr:from>
      <xdr:col>14</xdr:col>
      <xdr:colOff>468800</xdr:colOff>
      <xdr:row>18</xdr:row>
      <xdr:rowOff>145807</xdr:rowOff>
    </xdr:from>
    <xdr:to>
      <xdr:col>16</xdr:col>
      <xdr:colOff>524422</xdr:colOff>
      <xdr:row>25</xdr:row>
      <xdr:rowOff>4767</xdr:rowOff>
    </xdr:to>
    <xdr:sp macro="" textlink="">
      <xdr:nvSpPr>
        <xdr:cNvPr id="14" name="Rectangle: Rounded Corners 13">
          <a:extLst>
            <a:ext uri="{FF2B5EF4-FFF2-40B4-BE49-F238E27FC236}">
              <a16:creationId xmlns:a16="http://schemas.microsoft.com/office/drawing/2014/main" id="{00000000-0008-0000-0200-00000E000000}"/>
            </a:ext>
          </a:extLst>
        </xdr:cNvPr>
        <xdr:cNvSpPr/>
      </xdr:nvSpPr>
      <xdr:spPr>
        <a:xfrm>
          <a:off x="8969863" y="3646245"/>
          <a:ext cx="1270059" cy="1192460"/>
        </a:xfrm>
        <a:prstGeom prst="roundRect">
          <a:avLst>
            <a:gd name="adj" fmla="val 4761"/>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50000"/>
                <a:lumOff val="50000"/>
              </a:schemeClr>
            </a:solidFill>
          </a:endParaRPr>
        </a:p>
      </xdr:txBody>
    </xdr:sp>
    <xdr:clientData/>
  </xdr:twoCellAnchor>
  <xdr:twoCellAnchor>
    <xdr:from>
      <xdr:col>12</xdr:col>
      <xdr:colOff>226822</xdr:colOff>
      <xdr:row>8</xdr:row>
      <xdr:rowOff>83344</xdr:rowOff>
    </xdr:from>
    <xdr:to>
      <xdr:col>16</xdr:col>
      <xdr:colOff>524422</xdr:colOff>
      <xdr:row>16</xdr:row>
      <xdr:rowOff>172483</xdr:rowOff>
    </xdr:to>
    <xdr:sp macro="" textlink="">
      <xdr:nvSpPr>
        <xdr:cNvPr id="15" name="Rectangle: Rounded Corners 14">
          <a:extLst>
            <a:ext uri="{FF2B5EF4-FFF2-40B4-BE49-F238E27FC236}">
              <a16:creationId xmlns:a16="http://schemas.microsoft.com/office/drawing/2014/main" id="{00000000-0008-0000-0200-00000F000000}"/>
            </a:ext>
          </a:extLst>
        </xdr:cNvPr>
        <xdr:cNvSpPr/>
      </xdr:nvSpPr>
      <xdr:spPr>
        <a:xfrm>
          <a:off x="7513447" y="1607344"/>
          <a:ext cx="2726475" cy="1684577"/>
        </a:xfrm>
        <a:prstGeom prst="roundRect">
          <a:avLst>
            <a:gd name="adj" fmla="val 4761"/>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50000"/>
                <a:lumOff val="50000"/>
              </a:schemeClr>
            </a:solidFill>
          </a:endParaRPr>
        </a:p>
      </xdr:txBody>
    </xdr:sp>
    <xdr:clientData/>
  </xdr:twoCellAnchor>
  <xdr:twoCellAnchor>
    <xdr:from>
      <xdr:col>12</xdr:col>
      <xdr:colOff>226822</xdr:colOff>
      <xdr:row>0</xdr:row>
      <xdr:rowOff>84049</xdr:rowOff>
    </xdr:from>
    <xdr:to>
      <xdr:col>16</xdr:col>
      <xdr:colOff>524422</xdr:colOff>
      <xdr:row>7</xdr:row>
      <xdr:rowOff>157868</xdr:rowOff>
    </xdr:to>
    <xdr:sp macro="" textlink="">
      <xdr:nvSpPr>
        <xdr:cNvPr id="16" name="Rectangle: Rounded Corners 15">
          <a:extLst>
            <a:ext uri="{FF2B5EF4-FFF2-40B4-BE49-F238E27FC236}">
              <a16:creationId xmlns:a16="http://schemas.microsoft.com/office/drawing/2014/main" id="{00000000-0008-0000-0200-000010000000}"/>
            </a:ext>
          </a:extLst>
        </xdr:cNvPr>
        <xdr:cNvSpPr/>
      </xdr:nvSpPr>
      <xdr:spPr>
        <a:xfrm>
          <a:off x="7513447" y="84049"/>
          <a:ext cx="2726475" cy="1407319"/>
        </a:xfrm>
        <a:prstGeom prst="roundRect">
          <a:avLst>
            <a:gd name="adj" fmla="val 4761"/>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50000"/>
                <a:lumOff val="50000"/>
              </a:schemeClr>
            </a:solidFill>
          </a:endParaRPr>
        </a:p>
      </xdr:txBody>
    </xdr:sp>
    <xdr:clientData/>
  </xdr:twoCellAnchor>
  <xdr:oneCellAnchor>
    <xdr:from>
      <xdr:col>14</xdr:col>
      <xdr:colOff>423157</xdr:colOff>
      <xdr:row>21</xdr:row>
      <xdr:rowOff>104879</xdr:rowOff>
    </xdr:from>
    <xdr:ext cx="1260371" cy="562363"/>
    <xdr:sp macro="" textlink="Sheet3!B14">
      <xdr:nvSpPr>
        <xdr:cNvPr id="17" name="TextBox 16">
          <a:extLst>
            <a:ext uri="{FF2B5EF4-FFF2-40B4-BE49-F238E27FC236}">
              <a16:creationId xmlns:a16="http://schemas.microsoft.com/office/drawing/2014/main" id="{00000000-0008-0000-0200-000011000000}"/>
            </a:ext>
          </a:extLst>
        </xdr:cNvPr>
        <xdr:cNvSpPr txBox="1"/>
      </xdr:nvSpPr>
      <xdr:spPr>
        <a:xfrm>
          <a:off x="8937042" y="4105379"/>
          <a:ext cx="1260371" cy="562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fld id="{D16B691D-8CE6-4471-A42F-E76D2D336C90}" type="TxLink">
            <a:rPr lang="en-US" sz="4400" b="1" i="0" u="none" strike="noStrike">
              <a:solidFill>
                <a:schemeClr val="bg1"/>
              </a:solidFill>
              <a:latin typeface="Times New Roman" panose="02020603050405020304" pitchFamily="18" charset="0"/>
              <a:cs typeface="Times New Roman" panose="02020603050405020304" pitchFamily="18" charset="0"/>
            </a:rPr>
            <a:pPr algn="r"/>
            <a:t>50</a:t>
          </a:fld>
          <a:endParaRPr lang="en-US" sz="4400" b="1">
            <a:solidFill>
              <a:schemeClr val="bg1"/>
            </a:solidFill>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483569</xdr:colOff>
      <xdr:row>18</xdr:row>
      <xdr:rowOff>136314</xdr:rowOff>
    </xdr:from>
    <xdr:to>
      <xdr:col>16</xdr:col>
      <xdr:colOff>356812</xdr:colOff>
      <xdr:row>21</xdr:row>
      <xdr:rowOff>141721</xdr:rowOff>
    </xdr:to>
    <xdr:pic>
      <xdr:nvPicPr>
        <xdr:cNvPr id="18" name="Picture 17">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1">
          <a:duotone>
            <a:prstClr val="black"/>
            <a:schemeClr val="bg1">
              <a:tint val="45000"/>
              <a:satMod val="400000"/>
            </a:schemeClr>
          </a:duotone>
        </a:blip>
        <a:stretch>
          <a:fillRect/>
        </a:stretch>
      </xdr:blipFill>
      <xdr:spPr>
        <a:xfrm>
          <a:off x="8997454" y="3565314"/>
          <a:ext cx="1089512" cy="576907"/>
        </a:xfrm>
        <a:prstGeom prst="rect">
          <a:avLst/>
        </a:prstGeom>
      </xdr:spPr>
    </xdr:pic>
    <xdr:clientData/>
  </xdr:twoCellAnchor>
  <xdr:oneCellAnchor>
    <xdr:from>
      <xdr:col>14</xdr:col>
      <xdr:colOff>488309</xdr:colOff>
      <xdr:row>25</xdr:row>
      <xdr:rowOff>110242</xdr:rowOff>
    </xdr:from>
    <xdr:ext cx="1250550" cy="574110"/>
    <xdr:sp macro="" textlink="">
      <xdr:nvSpPr>
        <xdr:cNvPr id="22" name="TextBox 21">
          <a:extLst>
            <a:ext uri="{FF2B5EF4-FFF2-40B4-BE49-F238E27FC236}">
              <a16:creationId xmlns:a16="http://schemas.microsoft.com/office/drawing/2014/main" id="{00000000-0008-0000-0200-000016000000}"/>
            </a:ext>
          </a:extLst>
        </xdr:cNvPr>
        <xdr:cNvSpPr txBox="1"/>
      </xdr:nvSpPr>
      <xdr:spPr>
        <a:xfrm>
          <a:off x="8989372" y="4944180"/>
          <a:ext cx="1250550" cy="574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1500" b="1">
              <a:solidFill>
                <a:schemeClr val="bg1"/>
              </a:solidFill>
              <a:latin typeface="Times New Roman" panose="02020603050405020304" pitchFamily="18" charset="0"/>
              <a:cs typeface="Times New Roman" panose="02020603050405020304" pitchFamily="18" charset="0"/>
            </a:rPr>
            <a:t>Full</a:t>
          </a:r>
          <a:r>
            <a:rPr lang="en-US" sz="1500" b="1" baseline="0">
              <a:solidFill>
                <a:schemeClr val="bg1"/>
              </a:solidFill>
              <a:latin typeface="Times New Roman" panose="02020603050405020304" pitchFamily="18" charset="0"/>
              <a:cs typeface="Times New Roman" panose="02020603050405020304" pitchFamily="18" charset="0"/>
            </a:rPr>
            <a:t> </a:t>
          </a:r>
          <a:r>
            <a:rPr lang="en-US" sz="1500" b="1">
              <a:solidFill>
                <a:schemeClr val="bg1"/>
              </a:solidFill>
              <a:latin typeface="Times New Roman" panose="02020603050405020304" pitchFamily="18" charset="0"/>
              <a:cs typeface="Times New Roman" panose="02020603050405020304" pitchFamily="18" charset="0"/>
            </a:rPr>
            <a:t>Time</a:t>
          </a:r>
        </a:p>
        <a:p>
          <a:pPr algn="l"/>
          <a:r>
            <a:rPr lang="en-US" sz="1500" b="1">
              <a:solidFill>
                <a:schemeClr val="bg1"/>
              </a:solidFill>
              <a:latin typeface="Times New Roman" panose="02020603050405020304" pitchFamily="18" charset="0"/>
              <a:cs typeface="Times New Roman" panose="02020603050405020304" pitchFamily="18" charset="0"/>
            </a:rPr>
            <a:t> Employees</a:t>
          </a:r>
        </a:p>
      </xdr:txBody>
    </xdr:sp>
    <xdr:clientData/>
  </xdr:oneCellAnchor>
  <xdr:oneCellAnchor>
    <xdr:from>
      <xdr:col>12</xdr:col>
      <xdr:colOff>213352</xdr:colOff>
      <xdr:row>25</xdr:row>
      <xdr:rowOff>129974</xdr:rowOff>
    </xdr:from>
    <xdr:ext cx="1290490" cy="534634"/>
    <xdr:sp macro="" textlink="">
      <xdr:nvSpPr>
        <xdr:cNvPr id="30" name="TextBox 29">
          <a:extLst>
            <a:ext uri="{FF2B5EF4-FFF2-40B4-BE49-F238E27FC236}">
              <a16:creationId xmlns:a16="http://schemas.microsoft.com/office/drawing/2014/main" id="{00000000-0008-0000-0200-00001E000000}"/>
            </a:ext>
          </a:extLst>
        </xdr:cNvPr>
        <xdr:cNvSpPr txBox="1"/>
      </xdr:nvSpPr>
      <xdr:spPr>
        <a:xfrm>
          <a:off x="7561209" y="4989668"/>
          <a:ext cx="1290490" cy="5346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500" b="1">
              <a:solidFill>
                <a:schemeClr val="bg1"/>
              </a:solidFill>
              <a:latin typeface="Times New Roman" panose="02020603050405020304" pitchFamily="18" charset="0"/>
              <a:cs typeface="Times New Roman" panose="02020603050405020304" pitchFamily="18" charset="0"/>
            </a:rPr>
            <a:t>Contract</a:t>
          </a:r>
        </a:p>
        <a:p>
          <a:pPr algn="l"/>
          <a:r>
            <a:rPr lang="en-US" sz="1500" b="1">
              <a:solidFill>
                <a:schemeClr val="bg1"/>
              </a:solidFill>
              <a:latin typeface="Times New Roman" panose="02020603050405020304" pitchFamily="18" charset="0"/>
              <a:cs typeface="Times New Roman" panose="02020603050405020304" pitchFamily="18" charset="0"/>
            </a:rPr>
            <a:t> Employees</a:t>
          </a:r>
        </a:p>
      </xdr:txBody>
    </xdr:sp>
    <xdr:clientData/>
  </xdr:oneCellAnchor>
  <xdr:oneCellAnchor>
    <xdr:from>
      <xdr:col>13</xdr:col>
      <xdr:colOff>56141</xdr:colOff>
      <xdr:row>28</xdr:row>
      <xdr:rowOff>27647</xdr:rowOff>
    </xdr:from>
    <xdr:ext cx="756617" cy="781111"/>
    <xdr:sp macro="" textlink="Sheet3!B11">
      <xdr:nvSpPr>
        <xdr:cNvPr id="31" name="TextBox 30">
          <a:extLst>
            <a:ext uri="{FF2B5EF4-FFF2-40B4-BE49-F238E27FC236}">
              <a16:creationId xmlns:a16="http://schemas.microsoft.com/office/drawing/2014/main" id="{00000000-0008-0000-0200-00001F000000}"/>
            </a:ext>
          </a:extLst>
        </xdr:cNvPr>
        <xdr:cNvSpPr txBox="1"/>
      </xdr:nvSpPr>
      <xdr:spPr>
        <a:xfrm>
          <a:off x="8007009" y="5431831"/>
          <a:ext cx="756617" cy="781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fld id="{6B11FF85-90A5-4F5C-9A48-A705EAC1B60C}" type="TxLink">
            <a:rPr lang="en-US" sz="4400" b="1" i="0" u="none" strike="noStrike">
              <a:solidFill>
                <a:schemeClr val="bg1"/>
              </a:solidFill>
              <a:latin typeface="Aptos Narrow"/>
            </a:rPr>
            <a:pPr algn="r"/>
            <a:t>17</a:t>
          </a:fld>
          <a:endParaRPr lang="en-US" sz="4400" b="1">
            <a:solidFill>
              <a:schemeClr val="bg1"/>
            </a:solidFill>
          </a:endParaRPr>
        </a:p>
      </xdr:txBody>
    </xdr:sp>
    <xdr:clientData/>
  </xdr:oneCellAnchor>
  <xdr:oneCellAnchor>
    <xdr:from>
      <xdr:col>15</xdr:col>
      <xdr:colOff>283024</xdr:colOff>
      <xdr:row>28</xdr:row>
      <xdr:rowOff>88</xdr:rowOff>
    </xdr:from>
    <xdr:ext cx="756617" cy="781111"/>
    <xdr:sp macro="" textlink="Sheet3!B12">
      <xdr:nvSpPr>
        <xdr:cNvPr id="32" name="TextBox 31">
          <a:extLst>
            <a:ext uri="{FF2B5EF4-FFF2-40B4-BE49-F238E27FC236}">
              <a16:creationId xmlns:a16="http://schemas.microsoft.com/office/drawing/2014/main" id="{00000000-0008-0000-0200-000020000000}"/>
            </a:ext>
          </a:extLst>
        </xdr:cNvPr>
        <xdr:cNvSpPr txBox="1"/>
      </xdr:nvSpPr>
      <xdr:spPr>
        <a:xfrm>
          <a:off x="9457103" y="5404272"/>
          <a:ext cx="756617" cy="781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fld id="{78A5A2BE-8A7C-4C74-8B32-A226D7F0D198}" type="TxLink">
            <a:rPr lang="en-US" sz="4400" b="1" i="0" u="none" strike="noStrike">
              <a:solidFill>
                <a:schemeClr val="bg1"/>
              </a:solidFill>
              <a:latin typeface="Aptos Narrow"/>
            </a:rPr>
            <a:pPr algn="r"/>
            <a:t>20</a:t>
          </a:fld>
          <a:endParaRPr lang="en-US" sz="4400" b="1">
            <a:solidFill>
              <a:schemeClr val="bg1"/>
            </a:solidFill>
          </a:endParaRPr>
        </a:p>
      </xdr:txBody>
    </xdr:sp>
    <xdr:clientData/>
  </xdr:oneCellAnchor>
  <xdr:twoCellAnchor>
    <xdr:from>
      <xdr:col>8</xdr:col>
      <xdr:colOff>30054</xdr:colOff>
      <xdr:row>22</xdr:row>
      <xdr:rowOff>168584</xdr:rowOff>
    </xdr:from>
    <xdr:to>
      <xdr:col>10</xdr:col>
      <xdr:colOff>202300</xdr:colOff>
      <xdr:row>24</xdr:row>
      <xdr:rowOff>62358</xdr:rowOff>
    </xdr:to>
    <xdr:sp macro="" textlink="">
      <xdr:nvSpPr>
        <xdr:cNvPr id="34" name="TextBox 33">
          <a:extLst>
            <a:ext uri="{FF2B5EF4-FFF2-40B4-BE49-F238E27FC236}">
              <a16:creationId xmlns:a16="http://schemas.microsoft.com/office/drawing/2014/main" id="{00000000-0008-0000-0200-000022000000}"/>
            </a:ext>
          </a:extLst>
        </xdr:cNvPr>
        <xdr:cNvSpPr txBox="1"/>
      </xdr:nvSpPr>
      <xdr:spPr>
        <a:xfrm>
          <a:off x="4885275" y="4433761"/>
          <a:ext cx="1386052" cy="2815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200" b="1" i="0" u="none" strike="noStrike">
              <a:solidFill>
                <a:schemeClr val="bg1"/>
              </a:solidFill>
              <a:latin typeface="Times New Roman" panose="02020603050405020304" pitchFamily="18" charset="0"/>
              <a:cs typeface="Times New Roman" panose="02020603050405020304" pitchFamily="18" charset="0"/>
            </a:rPr>
            <a:t>Total</a:t>
          </a:r>
          <a:r>
            <a:rPr lang="en-US" sz="1200" b="1" i="0" u="none" strike="noStrike" baseline="0">
              <a:solidFill>
                <a:schemeClr val="bg1"/>
              </a:solidFill>
              <a:latin typeface="Times New Roman" panose="02020603050405020304" pitchFamily="18" charset="0"/>
              <a:cs typeface="Times New Roman" panose="02020603050405020304" pitchFamily="18" charset="0"/>
            </a:rPr>
            <a:t> Salaries</a:t>
          </a:r>
          <a:endParaRPr lang="en-US" sz="1200" b="1" i="0" u="none" strike="noStrike">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30054</xdr:colOff>
      <xdr:row>28</xdr:row>
      <xdr:rowOff>137208</xdr:rowOff>
    </xdr:from>
    <xdr:to>
      <xdr:col>9</xdr:col>
      <xdr:colOff>295357</xdr:colOff>
      <xdr:row>30</xdr:row>
      <xdr:rowOff>30982</xdr:rowOff>
    </xdr:to>
    <xdr:sp macro="" textlink="">
      <xdr:nvSpPr>
        <xdr:cNvPr id="35" name="TextBox 34">
          <a:extLst>
            <a:ext uri="{FF2B5EF4-FFF2-40B4-BE49-F238E27FC236}">
              <a16:creationId xmlns:a16="http://schemas.microsoft.com/office/drawing/2014/main" id="{00000000-0008-0000-0200-000023000000}"/>
            </a:ext>
          </a:extLst>
        </xdr:cNvPr>
        <xdr:cNvSpPr txBox="1"/>
      </xdr:nvSpPr>
      <xdr:spPr>
        <a:xfrm>
          <a:off x="4885275" y="5565615"/>
          <a:ext cx="872206" cy="2815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200" b="1" i="0" u="none" strike="noStrike">
              <a:solidFill>
                <a:schemeClr val="bg1"/>
              </a:solidFill>
              <a:latin typeface="Times New Roman" panose="02020603050405020304" pitchFamily="18" charset="0"/>
              <a:cs typeface="Times New Roman" panose="02020603050405020304" pitchFamily="18" charset="0"/>
            </a:rPr>
            <a:t>Analyst</a:t>
          </a:r>
        </a:p>
      </xdr:txBody>
    </xdr:sp>
    <xdr:clientData/>
  </xdr:twoCellAnchor>
  <xdr:twoCellAnchor>
    <xdr:from>
      <xdr:col>8</xdr:col>
      <xdr:colOff>30054</xdr:colOff>
      <xdr:row>25</xdr:row>
      <xdr:rowOff>148762</xdr:rowOff>
    </xdr:from>
    <xdr:to>
      <xdr:col>10</xdr:col>
      <xdr:colOff>180713</xdr:colOff>
      <xdr:row>27</xdr:row>
      <xdr:rowOff>42536</xdr:rowOff>
    </xdr:to>
    <xdr:sp macro="" textlink="">
      <xdr:nvSpPr>
        <xdr:cNvPr id="36" name="TextBox 35">
          <a:extLst>
            <a:ext uri="{FF2B5EF4-FFF2-40B4-BE49-F238E27FC236}">
              <a16:creationId xmlns:a16="http://schemas.microsoft.com/office/drawing/2014/main" id="{00000000-0008-0000-0200-000024000000}"/>
            </a:ext>
          </a:extLst>
        </xdr:cNvPr>
        <xdr:cNvSpPr txBox="1"/>
      </xdr:nvSpPr>
      <xdr:spPr>
        <a:xfrm>
          <a:off x="4885275" y="4995554"/>
          <a:ext cx="1364465" cy="2815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200" b="1" i="0" u="none" strike="noStrike">
              <a:solidFill>
                <a:schemeClr val="bg1"/>
              </a:solidFill>
              <a:latin typeface="Times New Roman" panose="02020603050405020304" pitchFamily="18" charset="0"/>
              <a:cs typeface="Times New Roman" panose="02020603050405020304" pitchFamily="18" charset="0"/>
            </a:rPr>
            <a:t>HR Specialist</a:t>
          </a:r>
        </a:p>
      </xdr:txBody>
    </xdr:sp>
    <xdr:clientData/>
  </xdr:twoCellAnchor>
  <xdr:twoCellAnchor>
    <xdr:from>
      <xdr:col>8</xdr:col>
      <xdr:colOff>30053</xdr:colOff>
      <xdr:row>27</xdr:row>
      <xdr:rowOff>53552</xdr:rowOff>
    </xdr:from>
    <xdr:to>
      <xdr:col>10</xdr:col>
      <xdr:colOff>143718</xdr:colOff>
      <xdr:row>28</xdr:row>
      <xdr:rowOff>149612</xdr:rowOff>
    </xdr:to>
    <xdr:sp macro="" textlink="">
      <xdr:nvSpPr>
        <xdr:cNvPr id="37" name="TextBox 36">
          <a:extLst>
            <a:ext uri="{FF2B5EF4-FFF2-40B4-BE49-F238E27FC236}">
              <a16:creationId xmlns:a16="http://schemas.microsoft.com/office/drawing/2014/main" id="{00000000-0008-0000-0200-000025000000}"/>
            </a:ext>
          </a:extLst>
        </xdr:cNvPr>
        <xdr:cNvSpPr txBox="1"/>
      </xdr:nvSpPr>
      <xdr:spPr>
        <a:xfrm>
          <a:off x="4885274" y="5288087"/>
          <a:ext cx="1327471" cy="2899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1200" b="1" i="0" u="none" strike="noStrike">
              <a:solidFill>
                <a:schemeClr val="bg1"/>
              </a:solidFill>
              <a:latin typeface="Times New Roman" panose="02020603050405020304" pitchFamily="18" charset="0"/>
              <a:cs typeface="Times New Roman" panose="02020603050405020304" pitchFamily="18" charset="0"/>
            </a:rPr>
            <a:t>Developers</a:t>
          </a:r>
        </a:p>
      </xdr:txBody>
    </xdr:sp>
    <xdr:clientData/>
  </xdr:twoCellAnchor>
  <xdr:twoCellAnchor>
    <xdr:from>
      <xdr:col>8</xdr:col>
      <xdr:colOff>30054</xdr:colOff>
      <xdr:row>24</xdr:row>
      <xdr:rowOff>58784</xdr:rowOff>
    </xdr:from>
    <xdr:to>
      <xdr:col>9</xdr:col>
      <xdr:colOff>489794</xdr:colOff>
      <xdr:row>25</xdr:row>
      <xdr:rowOff>146429</xdr:rowOff>
    </xdr:to>
    <xdr:sp macro="" textlink="">
      <xdr:nvSpPr>
        <xdr:cNvPr id="38" name="TextBox 37">
          <a:extLst>
            <a:ext uri="{FF2B5EF4-FFF2-40B4-BE49-F238E27FC236}">
              <a16:creationId xmlns:a16="http://schemas.microsoft.com/office/drawing/2014/main" id="{00000000-0008-0000-0200-000026000000}"/>
            </a:ext>
          </a:extLst>
        </xdr:cNvPr>
        <xdr:cNvSpPr txBox="1"/>
      </xdr:nvSpPr>
      <xdr:spPr>
        <a:xfrm>
          <a:off x="4885275" y="4711704"/>
          <a:ext cx="1066643" cy="2815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200" b="1" i="0" u="none" strike="noStrike">
              <a:solidFill>
                <a:schemeClr val="bg1"/>
              </a:solidFill>
              <a:latin typeface="Times New Roman" panose="02020603050405020304" pitchFamily="18" charset="0"/>
              <a:cs typeface="Times New Roman" panose="02020603050405020304" pitchFamily="18" charset="0"/>
            </a:rPr>
            <a:t>Managers</a:t>
          </a:r>
        </a:p>
      </xdr:txBody>
    </xdr:sp>
    <xdr:clientData/>
  </xdr:twoCellAnchor>
  <xdr:twoCellAnchor>
    <xdr:from>
      <xdr:col>8</xdr:col>
      <xdr:colOff>30054</xdr:colOff>
      <xdr:row>30</xdr:row>
      <xdr:rowOff>5362</xdr:rowOff>
    </xdr:from>
    <xdr:to>
      <xdr:col>9</xdr:col>
      <xdr:colOff>468208</xdr:colOff>
      <xdr:row>31</xdr:row>
      <xdr:rowOff>93007</xdr:rowOff>
    </xdr:to>
    <xdr:sp macro="" textlink="">
      <xdr:nvSpPr>
        <xdr:cNvPr id="41" name="TextBox 40">
          <a:extLst>
            <a:ext uri="{FF2B5EF4-FFF2-40B4-BE49-F238E27FC236}">
              <a16:creationId xmlns:a16="http://schemas.microsoft.com/office/drawing/2014/main" id="{00000000-0008-0000-0200-000029000000}"/>
            </a:ext>
          </a:extLst>
        </xdr:cNvPr>
        <xdr:cNvSpPr txBox="1"/>
      </xdr:nvSpPr>
      <xdr:spPr>
        <a:xfrm>
          <a:off x="4885275" y="5821512"/>
          <a:ext cx="1045057" cy="2815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200" b="1" i="0" u="none" strike="noStrike">
              <a:solidFill>
                <a:schemeClr val="bg1"/>
              </a:solidFill>
              <a:latin typeface="Times New Roman" panose="02020603050405020304" pitchFamily="18" charset="0"/>
              <a:cs typeface="Times New Roman" panose="02020603050405020304" pitchFamily="18" charset="0"/>
            </a:rPr>
            <a:t>Designers</a:t>
          </a:r>
        </a:p>
      </xdr:txBody>
    </xdr:sp>
    <xdr:clientData/>
  </xdr:twoCellAnchor>
  <xdr:twoCellAnchor>
    <xdr:from>
      <xdr:col>10</xdr:col>
      <xdr:colOff>410411</xdr:colOff>
      <xdr:row>28</xdr:row>
      <xdr:rowOff>143179</xdr:rowOff>
    </xdr:from>
    <xdr:to>
      <xdr:col>11</xdr:col>
      <xdr:colOff>517165</xdr:colOff>
      <xdr:row>30</xdr:row>
      <xdr:rowOff>9929</xdr:rowOff>
    </xdr:to>
    <xdr:sp macro="" textlink="Sheet3!E11">
      <xdr:nvSpPr>
        <xdr:cNvPr id="45" name="TextBox 44">
          <a:extLst>
            <a:ext uri="{FF2B5EF4-FFF2-40B4-BE49-F238E27FC236}">
              <a16:creationId xmlns:a16="http://schemas.microsoft.com/office/drawing/2014/main" id="{00000000-0008-0000-0200-00002D000000}"/>
            </a:ext>
          </a:extLst>
        </xdr:cNvPr>
        <xdr:cNvSpPr txBox="1"/>
      </xdr:nvSpPr>
      <xdr:spPr>
        <a:xfrm>
          <a:off x="6479438" y="5571586"/>
          <a:ext cx="71365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fld id="{F55A0835-0851-4DDC-9602-F7D82DA4541C}" type="TxLink">
            <a:rPr lang="en-US" sz="1100" b="1" i="0" u="none" strike="noStrike">
              <a:solidFill>
                <a:schemeClr val="bg1"/>
              </a:solidFill>
              <a:latin typeface="Times New Roman" panose="02020603050405020304" pitchFamily="18" charset="0"/>
              <a:cs typeface="Times New Roman" panose="02020603050405020304" pitchFamily="18" charset="0"/>
            </a:rPr>
            <a:pPr algn="r"/>
            <a:t> 167,041 </a:t>
          </a:fld>
          <a:endParaRPr lang="en-US" sz="1200" b="1" i="0" u="none" strike="noStrike">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410411</xdr:colOff>
      <xdr:row>25</xdr:row>
      <xdr:rowOff>149439</xdr:rowOff>
    </xdr:from>
    <xdr:to>
      <xdr:col>11</xdr:col>
      <xdr:colOff>517165</xdr:colOff>
      <xdr:row>27</xdr:row>
      <xdr:rowOff>16189</xdr:rowOff>
    </xdr:to>
    <xdr:sp macro="" textlink="Sheet3!E14">
      <xdr:nvSpPr>
        <xdr:cNvPr id="46" name="TextBox 45">
          <a:extLst>
            <a:ext uri="{FF2B5EF4-FFF2-40B4-BE49-F238E27FC236}">
              <a16:creationId xmlns:a16="http://schemas.microsoft.com/office/drawing/2014/main" id="{00000000-0008-0000-0200-00002E000000}"/>
            </a:ext>
          </a:extLst>
        </xdr:cNvPr>
        <xdr:cNvSpPr txBox="1"/>
      </xdr:nvSpPr>
      <xdr:spPr>
        <a:xfrm>
          <a:off x="6479438" y="4996231"/>
          <a:ext cx="71365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fld id="{C1E32D58-9DB5-4CE4-8D82-DD432E04A5BC}" type="TxLink">
            <a:rPr lang="en-US" sz="1100" b="1" i="0" u="none" strike="noStrike">
              <a:solidFill>
                <a:schemeClr val="bg1"/>
              </a:solidFill>
              <a:latin typeface="Times New Roman" panose="02020603050405020304" pitchFamily="18" charset="0"/>
              <a:cs typeface="Times New Roman" panose="02020603050405020304" pitchFamily="18" charset="0"/>
            </a:rPr>
            <a:pPr algn="r"/>
            <a:t> 959,266 </a:t>
          </a:fld>
          <a:endParaRPr lang="en-US" sz="1200" b="1" i="0" u="none" strike="noStrike">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362454</xdr:colOff>
      <xdr:row>27</xdr:row>
      <xdr:rowOff>61194</xdr:rowOff>
    </xdr:from>
    <xdr:to>
      <xdr:col>11</xdr:col>
      <xdr:colOff>517166</xdr:colOff>
      <xdr:row>28</xdr:row>
      <xdr:rowOff>121815</xdr:rowOff>
    </xdr:to>
    <xdr:sp macro="" textlink="Sheet3!E13">
      <xdr:nvSpPr>
        <xdr:cNvPr id="47" name="TextBox 46">
          <a:extLst>
            <a:ext uri="{FF2B5EF4-FFF2-40B4-BE49-F238E27FC236}">
              <a16:creationId xmlns:a16="http://schemas.microsoft.com/office/drawing/2014/main" id="{00000000-0008-0000-0200-00002F000000}"/>
            </a:ext>
          </a:extLst>
        </xdr:cNvPr>
        <xdr:cNvSpPr txBox="1"/>
      </xdr:nvSpPr>
      <xdr:spPr>
        <a:xfrm>
          <a:off x="5824578" y="5295729"/>
          <a:ext cx="136851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fld id="{38B5FA84-C8C3-41CA-B453-44408E10DABB}" type="TxLink">
            <a:rPr lang="en-US" sz="1100" b="1" i="0" u="none" strike="noStrike">
              <a:solidFill>
                <a:schemeClr val="bg1"/>
              </a:solidFill>
              <a:latin typeface="Times New Roman" panose="02020603050405020304" pitchFamily="18" charset="0"/>
              <a:cs typeface="Times New Roman" panose="02020603050405020304" pitchFamily="18" charset="0"/>
            </a:rPr>
            <a:pPr algn="r"/>
            <a:t> 633,594 </a:t>
          </a:fld>
          <a:endParaRPr lang="en-US" sz="1200" b="1" i="0" u="none" strike="noStrike">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410411</xdr:colOff>
      <xdr:row>24</xdr:row>
      <xdr:rowOff>56825</xdr:rowOff>
    </xdr:from>
    <xdr:to>
      <xdr:col>11</xdr:col>
      <xdr:colOff>517165</xdr:colOff>
      <xdr:row>25</xdr:row>
      <xdr:rowOff>117446</xdr:rowOff>
    </xdr:to>
    <xdr:sp macro="" textlink="Sheet3!E15">
      <xdr:nvSpPr>
        <xdr:cNvPr id="48" name="TextBox 47">
          <a:extLst>
            <a:ext uri="{FF2B5EF4-FFF2-40B4-BE49-F238E27FC236}">
              <a16:creationId xmlns:a16="http://schemas.microsoft.com/office/drawing/2014/main" id="{00000000-0008-0000-0200-000030000000}"/>
            </a:ext>
          </a:extLst>
        </xdr:cNvPr>
        <xdr:cNvSpPr txBox="1"/>
      </xdr:nvSpPr>
      <xdr:spPr>
        <a:xfrm>
          <a:off x="6479438" y="4709745"/>
          <a:ext cx="71365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fld id="{990CAA9A-82C9-4549-A312-8678FA375192}" type="TxLink">
            <a:rPr lang="en-US" sz="1100" b="1" i="0" u="none" strike="noStrike">
              <a:solidFill>
                <a:schemeClr val="bg1"/>
              </a:solidFill>
              <a:latin typeface="Times New Roman" panose="02020603050405020304" pitchFamily="18" charset="0"/>
              <a:cs typeface="Times New Roman" panose="02020603050405020304" pitchFamily="18" charset="0"/>
            </a:rPr>
            <a:pPr algn="r"/>
            <a:t> 731,170 </a:t>
          </a:fld>
          <a:endParaRPr lang="en-US" sz="1200" b="1" i="0" u="none" strike="noStrike">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427270</xdr:colOff>
      <xdr:row>30</xdr:row>
      <xdr:rowOff>22140</xdr:rowOff>
    </xdr:from>
    <xdr:to>
      <xdr:col>11</xdr:col>
      <xdr:colOff>534024</xdr:colOff>
      <xdr:row>31</xdr:row>
      <xdr:rowOff>82761</xdr:rowOff>
    </xdr:to>
    <xdr:sp macro="" textlink="Sheet3!E12">
      <xdr:nvSpPr>
        <xdr:cNvPr id="49" name="TextBox 48">
          <a:extLst>
            <a:ext uri="{FF2B5EF4-FFF2-40B4-BE49-F238E27FC236}">
              <a16:creationId xmlns:a16="http://schemas.microsoft.com/office/drawing/2014/main" id="{00000000-0008-0000-0200-000031000000}"/>
            </a:ext>
          </a:extLst>
        </xdr:cNvPr>
        <xdr:cNvSpPr txBox="1"/>
      </xdr:nvSpPr>
      <xdr:spPr>
        <a:xfrm>
          <a:off x="6496297" y="5838290"/>
          <a:ext cx="71365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fld id="{C2E19BF0-3C28-4AFA-9479-20E3064F4A72}" type="TxLink">
            <a:rPr lang="en-US" sz="1100" b="1" i="0" u="none" strike="noStrike">
              <a:solidFill>
                <a:schemeClr val="bg1"/>
              </a:solidFill>
              <a:latin typeface="Times New Roman" panose="02020603050405020304" pitchFamily="18" charset="0"/>
              <a:cs typeface="Times New Roman" panose="02020603050405020304" pitchFamily="18" charset="0"/>
            </a:rPr>
            <a:pPr algn="r"/>
            <a:t> 613,842 </a:t>
          </a:fld>
          <a:endParaRPr lang="en-US" sz="1200" b="1" i="0" u="none" strike="noStrike">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16858</xdr:colOff>
      <xdr:row>30</xdr:row>
      <xdr:rowOff>25287</xdr:rowOff>
    </xdr:from>
    <xdr:to>
      <xdr:col>11</xdr:col>
      <xdr:colOff>489956</xdr:colOff>
      <xdr:row>31</xdr:row>
      <xdr:rowOff>83415</xdr:rowOff>
    </xdr:to>
    <xdr:sp macro="" textlink="">
      <xdr:nvSpPr>
        <xdr:cNvPr id="50" name="Rectangle: Rounded Corners 49">
          <a:extLst>
            <a:ext uri="{FF2B5EF4-FFF2-40B4-BE49-F238E27FC236}">
              <a16:creationId xmlns:a16="http://schemas.microsoft.com/office/drawing/2014/main" id="{00000000-0008-0000-0200-000032000000}"/>
            </a:ext>
          </a:extLst>
        </xdr:cNvPr>
        <xdr:cNvSpPr/>
      </xdr:nvSpPr>
      <xdr:spPr>
        <a:xfrm>
          <a:off x="6085885" y="5841437"/>
          <a:ext cx="1080000" cy="252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295022</xdr:colOff>
      <xdr:row>23</xdr:row>
      <xdr:rowOff>33716</xdr:rowOff>
    </xdr:from>
    <xdr:to>
      <xdr:col>11</xdr:col>
      <xdr:colOff>463608</xdr:colOff>
      <xdr:row>24</xdr:row>
      <xdr:rowOff>33716</xdr:rowOff>
    </xdr:to>
    <xdr:sp macro="" textlink="">
      <xdr:nvSpPr>
        <xdr:cNvPr id="1040" name="Rectangle: Rounded Corners 1039">
          <a:extLst>
            <a:ext uri="{FF2B5EF4-FFF2-40B4-BE49-F238E27FC236}">
              <a16:creationId xmlns:a16="http://schemas.microsoft.com/office/drawing/2014/main" id="{00000000-0008-0000-0200-000010040000}"/>
            </a:ext>
          </a:extLst>
        </xdr:cNvPr>
        <xdr:cNvSpPr/>
      </xdr:nvSpPr>
      <xdr:spPr>
        <a:xfrm>
          <a:off x="6364049" y="4492765"/>
          <a:ext cx="775488" cy="193871"/>
        </a:xfrm>
        <a:prstGeom prst="roundRect">
          <a:avLst/>
        </a:prstGeom>
        <a:solidFill>
          <a:srgbClr val="E3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303452</xdr:colOff>
      <xdr:row>22</xdr:row>
      <xdr:rowOff>193871</xdr:rowOff>
    </xdr:from>
    <xdr:to>
      <xdr:col>11</xdr:col>
      <xdr:colOff>516005</xdr:colOff>
      <xdr:row>24</xdr:row>
      <xdr:rowOff>60621</xdr:rowOff>
    </xdr:to>
    <xdr:sp macro="" textlink="Sheet3!E16">
      <xdr:nvSpPr>
        <xdr:cNvPr id="1041" name="TextBox 1040">
          <a:extLst>
            <a:ext uri="{FF2B5EF4-FFF2-40B4-BE49-F238E27FC236}">
              <a16:creationId xmlns:a16="http://schemas.microsoft.com/office/drawing/2014/main" id="{00000000-0008-0000-0200-000011040000}"/>
            </a:ext>
          </a:extLst>
        </xdr:cNvPr>
        <xdr:cNvSpPr txBox="1"/>
      </xdr:nvSpPr>
      <xdr:spPr>
        <a:xfrm>
          <a:off x="6372479" y="4459048"/>
          <a:ext cx="819455" cy="25449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r"/>
          <a:fld id="{E9EAD4E6-4AB3-438A-B651-05306C81AE46}" type="TxLink">
            <a:rPr lang="en-US" sz="1100" b="1" i="0" u="none" strike="noStrike">
              <a:solidFill>
                <a:schemeClr val="bg1"/>
              </a:solidFill>
              <a:latin typeface="Times New Roman" panose="02020603050405020304" pitchFamily="18" charset="0"/>
              <a:ea typeface="+mn-ea"/>
              <a:cs typeface="Times New Roman" panose="02020603050405020304" pitchFamily="18" charset="0"/>
            </a:rPr>
            <a:pPr marL="0" indent="0" algn="r"/>
            <a:t> 3,104,913 </a:t>
          </a:fld>
          <a:endParaRPr lang="en-US" sz="1100" b="1" i="0" u="none" strike="noStrike">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7</xdr:col>
      <xdr:colOff>564203</xdr:colOff>
      <xdr:row>19</xdr:row>
      <xdr:rowOff>139306</xdr:rowOff>
    </xdr:from>
    <xdr:to>
      <xdr:col>9</xdr:col>
      <xdr:colOff>408214</xdr:colOff>
      <xdr:row>21</xdr:row>
      <xdr:rowOff>0</xdr:rowOff>
    </xdr:to>
    <xdr:sp macro="" textlink="">
      <xdr:nvSpPr>
        <xdr:cNvPr id="1042" name="TextBox 1041">
          <a:extLst>
            <a:ext uri="{FF2B5EF4-FFF2-40B4-BE49-F238E27FC236}">
              <a16:creationId xmlns:a16="http://schemas.microsoft.com/office/drawing/2014/main" id="{00000000-0008-0000-0200-000012040000}"/>
            </a:ext>
          </a:extLst>
        </xdr:cNvPr>
        <xdr:cNvSpPr txBox="1"/>
      </xdr:nvSpPr>
      <xdr:spPr>
        <a:xfrm>
          <a:off x="4797536" y="3934187"/>
          <a:ext cx="1053535" cy="2537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r>
            <a:rPr lang="en-US" sz="1800" b="1" i="0" u="none" strike="noStrike">
              <a:solidFill>
                <a:srgbClr val="FDF449"/>
              </a:solidFill>
              <a:latin typeface="Times New Roman" panose="02020603050405020304" pitchFamily="18" charset="0"/>
              <a:cs typeface="Times New Roman" panose="02020603050405020304" pitchFamily="18" charset="0"/>
            </a:rPr>
            <a:t>Salaries</a:t>
          </a:r>
        </a:p>
      </xdr:txBody>
    </xdr:sp>
    <xdr:clientData/>
  </xdr:twoCellAnchor>
  <xdr:twoCellAnchor>
    <xdr:from>
      <xdr:col>12</xdr:col>
      <xdr:colOff>229504</xdr:colOff>
      <xdr:row>17</xdr:row>
      <xdr:rowOff>27564</xdr:rowOff>
    </xdr:from>
    <xdr:to>
      <xdr:col>16</xdr:col>
      <xdr:colOff>499928</xdr:colOff>
      <xdr:row>18</xdr:row>
      <xdr:rowOff>31555</xdr:rowOff>
    </xdr:to>
    <xdr:sp macro="" textlink="Sheet3!W35">
      <xdr:nvSpPr>
        <xdr:cNvPr id="1043" name="TextBox 1042">
          <a:extLst>
            <a:ext uri="{FF2B5EF4-FFF2-40B4-BE49-F238E27FC236}">
              <a16:creationId xmlns:a16="http://schemas.microsoft.com/office/drawing/2014/main" id="{00000000-0008-0000-0200-000013040000}"/>
            </a:ext>
          </a:extLst>
        </xdr:cNvPr>
        <xdr:cNvSpPr txBox="1"/>
      </xdr:nvSpPr>
      <xdr:spPr>
        <a:xfrm>
          <a:off x="7516129" y="3337502"/>
          <a:ext cx="2699299" cy="19449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300" b="1" i="0" u="none" strike="noStrike">
              <a:solidFill>
                <a:srgbClr val="FDF449"/>
              </a:solidFill>
              <a:latin typeface="Times New Roman" panose="02020603050405020304" pitchFamily="18" charset="0"/>
              <a:cs typeface="Times New Roman" panose="02020603050405020304" pitchFamily="18" charset="0"/>
            </a:rPr>
            <a:t>Employment</a:t>
          </a:r>
          <a:r>
            <a:rPr lang="en-US" sz="1300" b="1" i="0" u="none" strike="noStrike" baseline="0">
              <a:solidFill>
                <a:srgbClr val="FDF449"/>
              </a:solidFill>
              <a:latin typeface="Times New Roman" panose="02020603050405020304" pitchFamily="18" charset="0"/>
              <a:cs typeface="Times New Roman" panose="02020603050405020304" pitchFamily="18" charset="0"/>
            </a:rPr>
            <a:t> Status</a:t>
          </a:r>
          <a:r>
            <a:rPr lang="en-US" sz="1300" b="1" i="0" u="none" strike="noStrike">
              <a:solidFill>
                <a:srgbClr val="FDF449"/>
              </a:solidFill>
              <a:latin typeface="Times New Roman" panose="02020603050405020304" pitchFamily="18" charset="0"/>
              <a:cs typeface="Times New Roman" panose="02020603050405020304" pitchFamily="18" charset="0"/>
            </a:rPr>
            <a:t> Breakdown</a:t>
          </a:r>
        </a:p>
      </xdr:txBody>
    </xdr:sp>
    <xdr:clientData/>
  </xdr:twoCellAnchor>
  <xdr:twoCellAnchor>
    <xdr:from>
      <xdr:col>8</xdr:col>
      <xdr:colOff>66747</xdr:colOff>
      <xdr:row>21</xdr:row>
      <xdr:rowOff>63445</xdr:rowOff>
    </xdr:from>
    <xdr:to>
      <xdr:col>11</xdr:col>
      <xdr:colOff>219160</xdr:colOff>
      <xdr:row>22</xdr:row>
      <xdr:rowOff>124066</xdr:rowOff>
    </xdr:to>
    <xdr:sp macro="" textlink="Sheet3!E16">
      <xdr:nvSpPr>
        <xdr:cNvPr id="1046" name="TextBox 1045">
          <a:extLst>
            <a:ext uri="{FF2B5EF4-FFF2-40B4-BE49-F238E27FC236}">
              <a16:creationId xmlns:a16="http://schemas.microsoft.com/office/drawing/2014/main" id="{00000000-0008-0000-0200-000016040000}"/>
            </a:ext>
          </a:extLst>
        </xdr:cNvPr>
        <xdr:cNvSpPr txBox="1"/>
      </xdr:nvSpPr>
      <xdr:spPr>
        <a:xfrm>
          <a:off x="4921968" y="4134750"/>
          <a:ext cx="1973121"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r>
            <a:rPr lang="en-US" sz="1200" b="1" i="0" u="none" strike="noStrike">
              <a:solidFill>
                <a:schemeClr val="bg1"/>
              </a:solidFill>
              <a:latin typeface="Times New Roman" panose="02020603050405020304" pitchFamily="18" charset="0"/>
              <a:cs typeface="Times New Roman" panose="02020603050405020304" pitchFamily="18" charset="0"/>
            </a:rPr>
            <a:t>Salary</a:t>
          </a:r>
          <a:r>
            <a:rPr lang="en-US" sz="1200" b="1" i="0" u="none" strike="noStrike" baseline="0">
              <a:solidFill>
                <a:schemeClr val="bg1"/>
              </a:solidFill>
              <a:latin typeface="Times New Roman" panose="02020603050405020304" pitchFamily="18" charset="0"/>
              <a:cs typeface="Times New Roman" panose="02020603050405020304" pitchFamily="18" charset="0"/>
            </a:rPr>
            <a:t> Amount By Job Title</a:t>
          </a:r>
          <a:endParaRPr lang="en-US" sz="1200" b="1" i="0" u="none" strike="noStrike">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198696</xdr:colOff>
      <xdr:row>17</xdr:row>
      <xdr:rowOff>150891</xdr:rowOff>
    </xdr:from>
    <xdr:to>
      <xdr:col>15</xdr:col>
      <xdr:colOff>9430</xdr:colOff>
      <xdr:row>25</xdr:row>
      <xdr:rowOff>150890</xdr:rowOff>
    </xdr:to>
    <xdr:graphicFrame macro="">
      <xdr:nvGraphicFramePr>
        <xdr:cNvPr id="1047" name="Chart 1046">
          <a:extLst>
            <a:ext uri="{FF2B5EF4-FFF2-40B4-BE49-F238E27FC236}">
              <a16:creationId xmlns:a16="http://schemas.microsoft.com/office/drawing/2014/main" id="{00000000-0008-0000-0200-000017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281862</xdr:colOff>
      <xdr:row>19</xdr:row>
      <xdr:rowOff>36035</xdr:rowOff>
    </xdr:from>
    <xdr:to>
      <xdr:col>16</xdr:col>
      <xdr:colOff>417933</xdr:colOff>
      <xdr:row>19</xdr:row>
      <xdr:rowOff>158500</xdr:rowOff>
    </xdr:to>
    <xdr:sp macro="" textlink="">
      <xdr:nvSpPr>
        <xdr:cNvPr id="1048" name="Oval 1047">
          <a:extLst>
            <a:ext uri="{FF2B5EF4-FFF2-40B4-BE49-F238E27FC236}">
              <a16:creationId xmlns:a16="http://schemas.microsoft.com/office/drawing/2014/main" id="{00000000-0008-0000-0200-000018040000}"/>
            </a:ext>
          </a:extLst>
        </xdr:cNvPr>
        <xdr:cNvSpPr/>
      </xdr:nvSpPr>
      <xdr:spPr>
        <a:xfrm flipH="1">
          <a:off x="10012016" y="3655535"/>
          <a:ext cx="136071" cy="122465"/>
        </a:xfrm>
        <a:prstGeom prst="ellipse">
          <a:avLst/>
        </a:prstGeom>
        <a:solidFill>
          <a:srgbClr val="FDF4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FF00"/>
            </a:solidFill>
          </a:endParaRPr>
        </a:p>
      </xdr:txBody>
    </xdr:sp>
    <xdr:clientData/>
  </xdr:twoCellAnchor>
  <xdr:twoCellAnchor>
    <xdr:from>
      <xdr:col>14</xdr:col>
      <xdr:colOff>19439</xdr:colOff>
      <xdr:row>26</xdr:row>
      <xdr:rowOff>25641</xdr:rowOff>
    </xdr:from>
    <xdr:to>
      <xdr:col>14</xdr:col>
      <xdr:colOff>155510</xdr:colOff>
      <xdr:row>26</xdr:row>
      <xdr:rowOff>151993</xdr:rowOff>
    </xdr:to>
    <xdr:sp macro="" textlink="">
      <xdr:nvSpPr>
        <xdr:cNvPr id="1051" name="Oval 1050">
          <a:extLst>
            <a:ext uri="{FF2B5EF4-FFF2-40B4-BE49-F238E27FC236}">
              <a16:creationId xmlns:a16="http://schemas.microsoft.com/office/drawing/2014/main" id="{00000000-0008-0000-0200-00001B040000}"/>
            </a:ext>
          </a:extLst>
        </xdr:cNvPr>
        <xdr:cNvSpPr/>
      </xdr:nvSpPr>
      <xdr:spPr>
        <a:xfrm flipH="1">
          <a:off x="8591939" y="5079723"/>
          <a:ext cx="136071" cy="126352"/>
        </a:xfrm>
        <a:prstGeom prst="ellipse">
          <a:avLst/>
        </a:prstGeom>
        <a:solidFill>
          <a:srgbClr val="FDF4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FF00"/>
            </a:solidFill>
          </a:endParaRPr>
        </a:p>
      </xdr:txBody>
    </xdr:sp>
    <xdr:clientData/>
  </xdr:twoCellAnchor>
  <xdr:twoCellAnchor>
    <xdr:from>
      <xdr:col>16</xdr:col>
      <xdr:colOff>278752</xdr:colOff>
      <xdr:row>26</xdr:row>
      <xdr:rowOff>41970</xdr:rowOff>
    </xdr:from>
    <xdr:to>
      <xdr:col>16</xdr:col>
      <xdr:colOff>414823</xdr:colOff>
      <xdr:row>26</xdr:row>
      <xdr:rowOff>168322</xdr:rowOff>
    </xdr:to>
    <xdr:sp macro="" textlink="">
      <xdr:nvSpPr>
        <xdr:cNvPr id="1052" name="Oval 1051">
          <a:extLst>
            <a:ext uri="{FF2B5EF4-FFF2-40B4-BE49-F238E27FC236}">
              <a16:creationId xmlns:a16="http://schemas.microsoft.com/office/drawing/2014/main" id="{00000000-0008-0000-0200-00001C040000}"/>
            </a:ext>
          </a:extLst>
        </xdr:cNvPr>
        <xdr:cNvSpPr/>
      </xdr:nvSpPr>
      <xdr:spPr>
        <a:xfrm flipH="1">
          <a:off x="10075895" y="5096052"/>
          <a:ext cx="136071" cy="126352"/>
        </a:xfrm>
        <a:prstGeom prst="ellipse">
          <a:avLst/>
        </a:prstGeom>
        <a:solidFill>
          <a:srgbClr val="FDF4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FF00"/>
            </a:solidFill>
          </a:endParaRPr>
        </a:p>
      </xdr:txBody>
    </xdr:sp>
    <xdr:clientData/>
  </xdr:twoCellAnchor>
  <xdr:twoCellAnchor>
    <xdr:from>
      <xdr:col>3</xdr:col>
      <xdr:colOff>196103</xdr:colOff>
      <xdr:row>24</xdr:row>
      <xdr:rowOff>182096</xdr:rowOff>
    </xdr:from>
    <xdr:to>
      <xdr:col>7</xdr:col>
      <xdr:colOff>322168</xdr:colOff>
      <xdr:row>31</xdr:row>
      <xdr:rowOff>174993</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388204</xdr:colOff>
      <xdr:row>19</xdr:row>
      <xdr:rowOff>187921</xdr:rowOff>
    </xdr:from>
    <xdr:to>
      <xdr:col>5</xdr:col>
      <xdr:colOff>383758</xdr:colOff>
      <xdr:row>21</xdr:row>
      <xdr:rowOff>65590</xdr:rowOff>
    </xdr:to>
    <xdr:sp macro="" textlink="">
      <xdr:nvSpPr>
        <xdr:cNvPr id="19" name="TextBox 18">
          <a:extLst>
            <a:ext uri="{FF2B5EF4-FFF2-40B4-BE49-F238E27FC236}">
              <a16:creationId xmlns:a16="http://schemas.microsoft.com/office/drawing/2014/main" id="{00000000-0008-0000-0200-000013000000}"/>
            </a:ext>
          </a:extLst>
        </xdr:cNvPr>
        <xdr:cNvSpPr txBox="1"/>
      </xdr:nvSpPr>
      <xdr:spPr>
        <a:xfrm>
          <a:off x="2202490" y="3982802"/>
          <a:ext cx="1205078" cy="270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r>
            <a:rPr lang="en-US" sz="1800" b="1" i="0" u="none" strike="noStrike">
              <a:solidFill>
                <a:srgbClr val="FDF449"/>
              </a:solidFill>
              <a:latin typeface="Times New Roman" panose="02020603050405020304" pitchFamily="18" charset="0"/>
              <a:cs typeface="Times New Roman" panose="02020603050405020304" pitchFamily="18" charset="0"/>
            </a:rPr>
            <a:t>Age</a:t>
          </a:r>
          <a:r>
            <a:rPr lang="en-US" sz="1800" b="1" i="0" u="none" strike="noStrike" baseline="0">
              <a:solidFill>
                <a:srgbClr val="FDF449"/>
              </a:solidFill>
              <a:latin typeface="Times New Roman" panose="02020603050405020304" pitchFamily="18" charset="0"/>
              <a:cs typeface="Times New Roman" panose="02020603050405020304" pitchFamily="18" charset="0"/>
            </a:rPr>
            <a:t> Range</a:t>
          </a:r>
          <a:endParaRPr lang="en-US" sz="1800" b="1" i="0" u="none" strike="noStrike">
            <a:solidFill>
              <a:srgbClr val="FDF449"/>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323277</xdr:colOff>
      <xdr:row>20</xdr:row>
      <xdr:rowOff>145706</xdr:rowOff>
    </xdr:from>
    <xdr:to>
      <xdr:col>7</xdr:col>
      <xdr:colOff>502820</xdr:colOff>
      <xdr:row>24</xdr:row>
      <xdr:rowOff>89676</xdr:rowOff>
    </xdr:to>
    <xdr:sp macro="" textlink="Sheet3!E16">
      <xdr:nvSpPr>
        <xdr:cNvPr id="20" name="TextBox 19">
          <a:extLst>
            <a:ext uri="{FF2B5EF4-FFF2-40B4-BE49-F238E27FC236}">
              <a16:creationId xmlns:a16="http://schemas.microsoft.com/office/drawing/2014/main" id="{00000000-0008-0000-0200-000014000000}"/>
            </a:ext>
          </a:extLst>
        </xdr:cNvPr>
        <xdr:cNvSpPr txBox="1"/>
      </xdr:nvSpPr>
      <xdr:spPr>
        <a:xfrm>
          <a:off x="2149720" y="3877149"/>
          <a:ext cx="2614801" cy="6902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200" b="1" i="0" u="none" strike="noStrike">
              <a:solidFill>
                <a:schemeClr val="bg1"/>
              </a:solidFill>
              <a:latin typeface="Times New Roman" panose="02020603050405020304" pitchFamily="18" charset="0"/>
              <a:cs typeface="Times New Roman" panose="02020603050405020304" pitchFamily="18" charset="0"/>
            </a:rPr>
            <a:t>Number</a:t>
          </a:r>
          <a:r>
            <a:rPr lang="en-US" sz="1200" b="1" i="0" u="none" strike="noStrike" baseline="0">
              <a:solidFill>
                <a:schemeClr val="bg1"/>
              </a:solidFill>
              <a:latin typeface="Times New Roman" panose="02020603050405020304" pitchFamily="18" charset="0"/>
              <a:cs typeface="Times New Roman" panose="02020603050405020304" pitchFamily="18" charset="0"/>
            </a:rPr>
            <a:t> Of  Employees According</a:t>
          </a:r>
        </a:p>
        <a:p>
          <a:pPr algn="l"/>
          <a:r>
            <a:rPr lang="en-US" sz="1200" b="1" i="0" u="none" strike="noStrike" baseline="0">
              <a:solidFill>
                <a:schemeClr val="bg1"/>
              </a:solidFill>
              <a:latin typeface="Times New Roman" panose="02020603050405020304" pitchFamily="18" charset="0"/>
              <a:cs typeface="Times New Roman" panose="02020603050405020304" pitchFamily="18" charset="0"/>
            </a:rPr>
            <a:t> To Age Range And Genders</a:t>
          </a:r>
          <a:endParaRPr lang="en-US" sz="1200" b="1" i="0" u="none" strike="noStrike">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20693</xdr:colOff>
      <xdr:row>5</xdr:row>
      <xdr:rowOff>114858</xdr:rowOff>
    </xdr:from>
    <xdr:to>
      <xdr:col>9</xdr:col>
      <xdr:colOff>206822</xdr:colOff>
      <xdr:row>7</xdr:row>
      <xdr:rowOff>34558</xdr:rowOff>
    </xdr:to>
    <xdr:sp macro="" textlink="">
      <xdr:nvSpPr>
        <xdr:cNvPr id="21" name="TextBox 20">
          <a:extLst>
            <a:ext uri="{FF2B5EF4-FFF2-40B4-BE49-F238E27FC236}">
              <a16:creationId xmlns:a16="http://schemas.microsoft.com/office/drawing/2014/main" id="{00000000-0008-0000-0200-000015000000}"/>
            </a:ext>
          </a:extLst>
        </xdr:cNvPr>
        <xdr:cNvSpPr txBox="1"/>
      </xdr:nvSpPr>
      <xdr:spPr>
        <a:xfrm>
          <a:off x="4951281" y="1095373"/>
          <a:ext cx="802453" cy="311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endParaRPr lang="en-US" sz="1600" b="1" i="0" u="none" strike="noStrike">
            <a:solidFill>
              <a:srgbClr val="FDF449"/>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481159</xdr:colOff>
      <xdr:row>24</xdr:row>
      <xdr:rowOff>1</xdr:rowOff>
    </xdr:from>
    <xdr:to>
      <xdr:col>7</xdr:col>
      <xdr:colOff>402603</xdr:colOff>
      <xdr:row>24</xdr:row>
      <xdr:rowOff>135942</xdr:rowOff>
    </xdr:to>
    <xdr:sp macro="" textlink="Sheet3!E16">
      <xdr:nvSpPr>
        <xdr:cNvPr id="29" name="TextBox 28">
          <a:extLst>
            <a:ext uri="{FF2B5EF4-FFF2-40B4-BE49-F238E27FC236}">
              <a16:creationId xmlns:a16="http://schemas.microsoft.com/office/drawing/2014/main" id="{00000000-0008-0000-0200-00001D000000}"/>
            </a:ext>
          </a:extLst>
        </xdr:cNvPr>
        <xdr:cNvSpPr txBox="1"/>
      </xdr:nvSpPr>
      <xdr:spPr>
        <a:xfrm>
          <a:off x="4134046" y="4477733"/>
          <a:ext cx="530258" cy="13594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200" b="1" i="0" u="none" strike="noStrike" baseline="0">
              <a:solidFill>
                <a:schemeClr val="bg1"/>
              </a:solidFill>
              <a:latin typeface="Times New Roman" panose="02020603050405020304" pitchFamily="18" charset="0"/>
              <a:cs typeface="Times New Roman" panose="02020603050405020304" pitchFamily="18" charset="0"/>
            </a:rPr>
            <a:t>Male</a:t>
          </a:r>
        </a:p>
      </xdr:txBody>
    </xdr:sp>
    <xdr:clientData/>
  </xdr:twoCellAnchor>
  <xdr:twoCellAnchor>
    <xdr:from>
      <xdr:col>6</xdr:col>
      <xdr:colOff>353504</xdr:colOff>
      <xdr:row>24</xdr:row>
      <xdr:rowOff>19639</xdr:rowOff>
    </xdr:from>
    <xdr:to>
      <xdr:col>6</xdr:col>
      <xdr:colOff>481159</xdr:colOff>
      <xdr:row>24</xdr:row>
      <xdr:rowOff>127654</xdr:rowOff>
    </xdr:to>
    <xdr:sp macro="" textlink="">
      <xdr:nvSpPr>
        <xdr:cNvPr id="33" name="Hexagon 32">
          <a:extLst>
            <a:ext uri="{FF2B5EF4-FFF2-40B4-BE49-F238E27FC236}">
              <a16:creationId xmlns:a16="http://schemas.microsoft.com/office/drawing/2014/main" id="{00000000-0008-0000-0200-000021000000}"/>
            </a:ext>
          </a:extLst>
        </xdr:cNvPr>
        <xdr:cNvSpPr/>
      </xdr:nvSpPr>
      <xdr:spPr>
        <a:xfrm>
          <a:off x="4006391" y="4497371"/>
          <a:ext cx="127655" cy="108015"/>
        </a:xfrm>
        <a:prstGeom prst="hexagon">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283994</xdr:colOff>
      <xdr:row>24</xdr:row>
      <xdr:rowOff>0</xdr:rowOff>
    </xdr:from>
    <xdr:to>
      <xdr:col>6</xdr:col>
      <xdr:colOff>294586</xdr:colOff>
      <xdr:row>24</xdr:row>
      <xdr:rowOff>153990</xdr:rowOff>
    </xdr:to>
    <xdr:sp macro="" textlink="Sheet3!E16">
      <xdr:nvSpPr>
        <xdr:cNvPr id="39" name="TextBox 38">
          <a:extLst>
            <a:ext uri="{FF2B5EF4-FFF2-40B4-BE49-F238E27FC236}">
              <a16:creationId xmlns:a16="http://schemas.microsoft.com/office/drawing/2014/main" id="{00000000-0008-0000-0200-000027000000}"/>
            </a:ext>
          </a:extLst>
        </xdr:cNvPr>
        <xdr:cNvSpPr txBox="1"/>
      </xdr:nvSpPr>
      <xdr:spPr>
        <a:xfrm>
          <a:off x="3328066" y="4477732"/>
          <a:ext cx="619407" cy="15399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200" b="1" i="0" u="none" strike="noStrike" baseline="0">
              <a:solidFill>
                <a:srgbClr val="E3B244"/>
              </a:solidFill>
              <a:latin typeface="Times New Roman" panose="02020603050405020304" pitchFamily="18" charset="0"/>
              <a:cs typeface="Times New Roman" panose="02020603050405020304" pitchFamily="18" charset="0"/>
            </a:rPr>
            <a:t>Female</a:t>
          </a:r>
        </a:p>
      </xdr:txBody>
    </xdr:sp>
    <xdr:clientData/>
  </xdr:twoCellAnchor>
  <xdr:twoCellAnchor>
    <xdr:from>
      <xdr:col>5</xdr:col>
      <xdr:colOff>182743</xdr:colOff>
      <xdr:row>24</xdr:row>
      <xdr:rowOff>40496</xdr:rowOff>
    </xdr:from>
    <xdr:to>
      <xdr:col>5</xdr:col>
      <xdr:colOff>310398</xdr:colOff>
      <xdr:row>24</xdr:row>
      <xdr:rowOff>148511</xdr:rowOff>
    </xdr:to>
    <xdr:sp macro="" textlink="">
      <xdr:nvSpPr>
        <xdr:cNvPr id="40" name="Hexagon 39">
          <a:extLst>
            <a:ext uri="{FF2B5EF4-FFF2-40B4-BE49-F238E27FC236}">
              <a16:creationId xmlns:a16="http://schemas.microsoft.com/office/drawing/2014/main" id="{00000000-0008-0000-0200-000028000000}"/>
            </a:ext>
          </a:extLst>
        </xdr:cNvPr>
        <xdr:cNvSpPr/>
      </xdr:nvSpPr>
      <xdr:spPr>
        <a:xfrm>
          <a:off x="3226815" y="4518228"/>
          <a:ext cx="127655" cy="108015"/>
        </a:xfrm>
        <a:prstGeom prst="hexagon">
          <a:avLst/>
        </a:prstGeom>
        <a:solidFill>
          <a:srgbClr val="E3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E3B244"/>
            </a:solidFill>
          </a:endParaRPr>
        </a:p>
      </xdr:txBody>
    </xdr:sp>
    <xdr:clientData/>
  </xdr:twoCellAnchor>
  <xdr:twoCellAnchor>
    <xdr:from>
      <xdr:col>0</xdr:col>
      <xdr:colOff>108468</xdr:colOff>
      <xdr:row>26</xdr:row>
      <xdr:rowOff>24633</xdr:rowOff>
    </xdr:from>
    <xdr:to>
      <xdr:col>3</xdr:col>
      <xdr:colOff>57478</xdr:colOff>
      <xdr:row>28</xdr:row>
      <xdr:rowOff>91176</xdr:rowOff>
    </xdr:to>
    <xdr:graphicFrame macro="">
      <xdr:nvGraphicFramePr>
        <xdr:cNvPr id="42" name="Chart 41">
          <a:extLst>
            <a:ext uri="{FF2B5EF4-FFF2-40B4-BE49-F238E27FC236}">
              <a16:creationId xmlns:a16="http://schemas.microsoft.com/office/drawing/2014/main" id="{00000000-0008-0000-02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64101</xdr:colOff>
      <xdr:row>26</xdr:row>
      <xdr:rowOff>164223</xdr:rowOff>
    </xdr:from>
    <xdr:to>
      <xdr:col>3</xdr:col>
      <xdr:colOff>41056</xdr:colOff>
      <xdr:row>30</xdr:row>
      <xdr:rowOff>180646</xdr:rowOff>
    </xdr:to>
    <xdr:graphicFrame macro="">
      <xdr:nvGraphicFramePr>
        <xdr:cNvPr id="43" name="Chart 42">
          <a:extLst>
            <a:ext uri="{FF2B5EF4-FFF2-40B4-BE49-F238E27FC236}">
              <a16:creationId xmlns:a16="http://schemas.microsoft.com/office/drawing/2014/main" id="{00000000-0008-0000-0200-00002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184120</xdr:colOff>
      <xdr:row>30</xdr:row>
      <xdr:rowOff>32845</xdr:rowOff>
    </xdr:from>
    <xdr:to>
      <xdr:col>2</xdr:col>
      <xdr:colOff>599418</xdr:colOff>
      <xdr:row>32</xdr:row>
      <xdr:rowOff>41056</xdr:rowOff>
    </xdr:to>
    <xdr:graphicFrame macro="">
      <xdr:nvGraphicFramePr>
        <xdr:cNvPr id="44" name="Chart 43">
          <a:extLst>
            <a:ext uri="{FF2B5EF4-FFF2-40B4-BE49-F238E27FC236}">
              <a16:creationId xmlns:a16="http://schemas.microsoft.com/office/drawing/2014/main" id="{00000000-0008-0000-02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82770</xdr:colOff>
      <xdr:row>27</xdr:row>
      <xdr:rowOff>94160</xdr:rowOff>
    </xdr:from>
    <xdr:to>
      <xdr:col>2</xdr:col>
      <xdr:colOff>233429</xdr:colOff>
      <xdr:row>28</xdr:row>
      <xdr:rowOff>176791</xdr:rowOff>
    </xdr:to>
    <xdr:sp macro="" textlink="">
      <xdr:nvSpPr>
        <xdr:cNvPr id="51" name="TextBox 50">
          <a:extLst>
            <a:ext uri="{FF2B5EF4-FFF2-40B4-BE49-F238E27FC236}">
              <a16:creationId xmlns:a16="http://schemas.microsoft.com/office/drawing/2014/main" id="{00000000-0008-0000-0200-000033000000}"/>
            </a:ext>
          </a:extLst>
        </xdr:cNvPr>
        <xdr:cNvSpPr txBox="1"/>
      </xdr:nvSpPr>
      <xdr:spPr>
        <a:xfrm>
          <a:off x="82770" y="5193319"/>
          <a:ext cx="1365918" cy="2714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100" b="1" i="0" u="none" strike="noStrike">
              <a:solidFill>
                <a:schemeClr val="bg1"/>
              </a:solidFill>
              <a:effectLst/>
              <a:latin typeface="Times New Roman" panose="02020603050405020304" pitchFamily="18" charset="0"/>
              <a:ea typeface="+mn-ea"/>
              <a:cs typeface="Times New Roman" panose="02020603050405020304" pitchFamily="18" charset="0"/>
            </a:rPr>
            <a:t>Head Office</a:t>
          </a:r>
          <a:r>
            <a:rPr lang="en-US" sz="1200" b="1">
              <a:solidFill>
                <a:schemeClr val="bg1"/>
              </a:solidFill>
              <a:latin typeface="Times New Roman" panose="02020603050405020304" pitchFamily="18" charset="0"/>
              <a:cs typeface="Times New Roman" panose="02020603050405020304" pitchFamily="18" charset="0"/>
            </a:rPr>
            <a:t> </a:t>
          </a:r>
          <a:endParaRPr lang="en-US" sz="1200" b="1" i="0" u="none" strike="noStrike">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132036</xdr:colOff>
      <xdr:row>29</xdr:row>
      <xdr:rowOff>105694</xdr:rowOff>
    </xdr:from>
    <xdr:to>
      <xdr:col>2</xdr:col>
      <xdr:colOff>245701</xdr:colOff>
      <xdr:row>31</xdr:row>
      <xdr:rowOff>12896</xdr:rowOff>
    </xdr:to>
    <xdr:sp macro="" textlink="">
      <xdr:nvSpPr>
        <xdr:cNvPr id="52" name="TextBox 51">
          <a:extLst>
            <a:ext uri="{FF2B5EF4-FFF2-40B4-BE49-F238E27FC236}">
              <a16:creationId xmlns:a16="http://schemas.microsoft.com/office/drawing/2014/main" id="{00000000-0008-0000-0200-000034000000}"/>
            </a:ext>
          </a:extLst>
        </xdr:cNvPr>
        <xdr:cNvSpPr txBox="1"/>
      </xdr:nvSpPr>
      <xdr:spPr>
        <a:xfrm>
          <a:off x="132036" y="5582569"/>
          <a:ext cx="1328924" cy="2849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1100" b="1" i="0" u="none" strike="noStrike">
              <a:solidFill>
                <a:schemeClr val="bg1"/>
              </a:solidFill>
              <a:effectLst/>
              <a:latin typeface="Times New Roman" panose="02020603050405020304" pitchFamily="18" charset="0"/>
              <a:ea typeface="+mn-ea"/>
              <a:cs typeface="Times New Roman" panose="02020603050405020304" pitchFamily="18" charset="0"/>
            </a:rPr>
            <a:t>Remote</a:t>
          </a:r>
          <a:r>
            <a:rPr lang="en-US" sz="1200" b="1">
              <a:solidFill>
                <a:schemeClr val="bg1"/>
              </a:solidFill>
              <a:latin typeface="Times New Roman" panose="02020603050405020304" pitchFamily="18" charset="0"/>
              <a:cs typeface="Times New Roman" panose="02020603050405020304" pitchFamily="18" charset="0"/>
            </a:rPr>
            <a:t> </a:t>
          </a:r>
          <a:endParaRPr lang="en-US" sz="1200" b="1" i="0" u="none" strike="noStrike">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99191</xdr:colOff>
      <xdr:row>25</xdr:row>
      <xdr:rowOff>78081</xdr:rowOff>
    </xdr:from>
    <xdr:to>
      <xdr:col>1</xdr:col>
      <xdr:colOff>558932</xdr:colOff>
      <xdr:row>26</xdr:row>
      <xdr:rowOff>165726</xdr:rowOff>
    </xdr:to>
    <xdr:sp macro="" textlink="">
      <xdr:nvSpPr>
        <xdr:cNvPr id="53" name="TextBox 52">
          <a:extLst>
            <a:ext uri="{FF2B5EF4-FFF2-40B4-BE49-F238E27FC236}">
              <a16:creationId xmlns:a16="http://schemas.microsoft.com/office/drawing/2014/main" id="{00000000-0008-0000-0200-000035000000}"/>
            </a:ext>
          </a:extLst>
        </xdr:cNvPr>
        <xdr:cNvSpPr txBox="1"/>
      </xdr:nvSpPr>
      <xdr:spPr>
        <a:xfrm>
          <a:off x="99191" y="4799525"/>
          <a:ext cx="1067370" cy="2765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100" b="1" i="0" u="none" strike="noStrike">
              <a:solidFill>
                <a:schemeClr val="bg1"/>
              </a:solidFill>
              <a:effectLst/>
              <a:latin typeface="Times New Roman" panose="02020603050405020304" pitchFamily="18" charset="0"/>
              <a:ea typeface="+mn-ea"/>
              <a:cs typeface="Times New Roman" panose="02020603050405020304" pitchFamily="18" charset="0"/>
            </a:rPr>
            <a:t>Branch Office</a:t>
          </a:r>
          <a:r>
            <a:rPr lang="en-US" sz="1200" b="1">
              <a:solidFill>
                <a:schemeClr val="bg1"/>
              </a:solidFill>
              <a:latin typeface="Times New Roman" panose="02020603050405020304" pitchFamily="18" charset="0"/>
              <a:cs typeface="Times New Roman" panose="02020603050405020304" pitchFamily="18" charset="0"/>
            </a:rPr>
            <a:t> </a:t>
          </a:r>
          <a:endParaRPr lang="en-US" sz="1200" b="1" i="0" u="none" strike="noStrike">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460484</xdr:colOff>
      <xdr:row>28</xdr:row>
      <xdr:rowOff>16423</xdr:rowOff>
    </xdr:from>
    <xdr:to>
      <xdr:col>3</xdr:col>
      <xdr:colOff>312026</xdr:colOff>
      <xdr:row>30</xdr:row>
      <xdr:rowOff>123167</xdr:rowOff>
    </xdr:to>
    <xdr:sp macro="" textlink="">
      <xdr:nvSpPr>
        <xdr:cNvPr id="54" name="TextBox 53">
          <a:extLst>
            <a:ext uri="{FF2B5EF4-FFF2-40B4-BE49-F238E27FC236}">
              <a16:creationId xmlns:a16="http://schemas.microsoft.com/office/drawing/2014/main" id="{00000000-0008-0000-0200-000036000000}"/>
            </a:ext>
          </a:extLst>
        </xdr:cNvPr>
        <xdr:cNvSpPr txBox="1"/>
      </xdr:nvSpPr>
      <xdr:spPr>
        <a:xfrm>
          <a:off x="1675743" y="5304440"/>
          <a:ext cx="459171" cy="484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100" b="1" i="0" u="none" strike="noStrike">
              <a:solidFill>
                <a:schemeClr val="bg1"/>
              </a:solidFill>
              <a:effectLst/>
              <a:latin typeface="+mn-lt"/>
              <a:ea typeface="+mn-ea"/>
              <a:cs typeface="+mn-cs"/>
            </a:rPr>
            <a:t>16%</a:t>
          </a:r>
          <a:r>
            <a:rPr lang="en-US" sz="1200" b="1">
              <a:solidFill>
                <a:schemeClr val="bg1"/>
              </a:solidFill>
            </a:rPr>
            <a:t> </a:t>
          </a:r>
          <a:endParaRPr lang="en-US" sz="1200" b="1" i="0" u="none" strike="noStrike">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468695</xdr:colOff>
      <xdr:row>26</xdr:row>
      <xdr:rowOff>131379</xdr:rowOff>
    </xdr:from>
    <xdr:to>
      <xdr:col>3</xdr:col>
      <xdr:colOff>303815</xdr:colOff>
      <xdr:row>27</xdr:row>
      <xdr:rowOff>119642</xdr:rowOff>
    </xdr:to>
    <xdr:sp macro="" textlink="">
      <xdr:nvSpPr>
        <xdr:cNvPr id="55" name="TextBox 54">
          <a:extLst>
            <a:ext uri="{FF2B5EF4-FFF2-40B4-BE49-F238E27FC236}">
              <a16:creationId xmlns:a16="http://schemas.microsoft.com/office/drawing/2014/main" id="{00000000-0008-0000-0200-000037000000}"/>
            </a:ext>
          </a:extLst>
        </xdr:cNvPr>
        <xdr:cNvSpPr txBox="1"/>
      </xdr:nvSpPr>
      <xdr:spPr>
        <a:xfrm>
          <a:off x="1683954" y="5041681"/>
          <a:ext cx="442749" cy="177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1100" b="1" i="0" u="none" strike="noStrike">
              <a:solidFill>
                <a:schemeClr val="bg1"/>
              </a:solidFill>
              <a:effectLst/>
              <a:latin typeface="+mn-lt"/>
              <a:ea typeface="+mn-ea"/>
              <a:cs typeface="+mn-cs"/>
            </a:rPr>
            <a:t>46%</a:t>
          </a:r>
          <a:r>
            <a:rPr lang="en-US" sz="1200" b="1">
              <a:solidFill>
                <a:schemeClr val="bg1"/>
              </a:solidFill>
            </a:rPr>
            <a:t> </a:t>
          </a:r>
          <a:endParaRPr lang="en-US" sz="1200" b="1" i="0" u="none" strike="noStrike">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452272</xdr:colOff>
      <xdr:row>30</xdr:row>
      <xdr:rowOff>61659</xdr:rowOff>
    </xdr:from>
    <xdr:to>
      <xdr:col>3</xdr:col>
      <xdr:colOff>254548</xdr:colOff>
      <xdr:row>32</xdr:row>
      <xdr:rowOff>49268</xdr:rowOff>
    </xdr:to>
    <xdr:sp macro="" textlink="">
      <xdr:nvSpPr>
        <xdr:cNvPr id="56" name="TextBox 55">
          <a:extLst>
            <a:ext uri="{FF2B5EF4-FFF2-40B4-BE49-F238E27FC236}">
              <a16:creationId xmlns:a16="http://schemas.microsoft.com/office/drawing/2014/main" id="{00000000-0008-0000-0200-000038000000}"/>
            </a:ext>
          </a:extLst>
        </xdr:cNvPr>
        <xdr:cNvSpPr txBox="1"/>
      </xdr:nvSpPr>
      <xdr:spPr>
        <a:xfrm>
          <a:off x="1667531" y="5727392"/>
          <a:ext cx="409905" cy="3653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100" b="1" i="0" u="none" strike="noStrike">
              <a:solidFill>
                <a:schemeClr val="bg1"/>
              </a:solidFill>
              <a:effectLst/>
              <a:latin typeface="+mn-lt"/>
              <a:ea typeface="+mn-ea"/>
              <a:cs typeface="+mn-cs"/>
            </a:rPr>
            <a:t>38%</a:t>
          </a:r>
          <a:r>
            <a:rPr lang="en-US" sz="1200" b="1">
              <a:solidFill>
                <a:schemeClr val="bg1"/>
              </a:solidFill>
            </a:rPr>
            <a:t> </a:t>
          </a:r>
          <a:endParaRPr lang="en-US" sz="1200" b="1" i="0" u="none" strike="noStrike">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82768</xdr:colOff>
      <xdr:row>21</xdr:row>
      <xdr:rowOff>181429</xdr:rowOff>
    </xdr:from>
    <xdr:to>
      <xdr:col>3</xdr:col>
      <xdr:colOff>453571</xdr:colOff>
      <xdr:row>26</xdr:row>
      <xdr:rowOff>45357</xdr:rowOff>
    </xdr:to>
    <xdr:sp macro="" textlink="Sheet3!E16">
      <xdr:nvSpPr>
        <xdr:cNvPr id="57" name="TextBox 56">
          <a:extLst>
            <a:ext uri="{FF2B5EF4-FFF2-40B4-BE49-F238E27FC236}">
              <a16:creationId xmlns:a16="http://schemas.microsoft.com/office/drawing/2014/main" id="{00000000-0008-0000-0200-000039000000}"/>
            </a:ext>
          </a:extLst>
        </xdr:cNvPr>
        <xdr:cNvSpPr txBox="1"/>
      </xdr:nvSpPr>
      <xdr:spPr>
        <a:xfrm>
          <a:off x="82768" y="4369405"/>
          <a:ext cx="2185089" cy="8466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800" b="1" i="0" u="none" strike="noStrike" baseline="0">
              <a:solidFill>
                <a:srgbClr val="FDF449"/>
              </a:solidFill>
              <a:latin typeface="Times New Roman" panose="02020603050405020304" pitchFamily="18" charset="0"/>
              <a:cs typeface="Times New Roman" panose="02020603050405020304" pitchFamily="18" charset="0"/>
            </a:rPr>
            <a:t>Work Location</a:t>
          </a:r>
        </a:p>
        <a:p>
          <a:pPr algn="l"/>
          <a:r>
            <a:rPr lang="en-US" sz="1200" b="1" i="0" u="none" strike="noStrike" baseline="0">
              <a:solidFill>
                <a:schemeClr val="bg1"/>
              </a:solidFill>
              <a:latin typeface="Times New Roman" panose="02020603050405020304" pitchFamily="18" charset="0"/>
              <a:cs typeface="Times New Roman" panose="02020603050405020304" pitchFamily="18" charset="0"/>
            </a:rPr>
            <a:t>Employees To Workplace</a:t>
          </a:r>
        </a:p>
      </xdr:txBody>
    </xdr:sp>
    <xdr:clientData/>
  </xdr:twoCellAnchor>
  <xdr:twoCellAnchor>
    <xdr:from>
      <xdr:col>0</xdr:col>
      <xdr:colOff>123826</xdr:colOff>
      <xdr:row>12</xdr:row>
      <xdr:rowOff>57150</xdr:rowOff>
    </xdr:from>
    <xdr:to>
      <xdr:col>2</xdr:col>
      <xdr:colOff>438150</xdr:colOff>
      <xdr:row>14</xdr:row>
      <xdr:rowOff>4625</xdr:rowOff>
    </xdr:to>
    <xdr:sp macro="" textlink="">
      <xdr:nvSpPr>
        <xdr:cNvPr id="23" name="TextBox 22">
          <a:extLst>
            <a:ext uri="{FF2B5EF4-FFF2-40B4-BE49-F238E27FC236}">
              <a16:creationId xmlns:a16="http://schemas.microsoft.com/office/drawing/2014/main" id="{00000000-0008-0000-0200-000017000000}"/>
            </a:ext>
          </a:extLst>
        </xdr:cNvPr>
        <xdr:cNvSpPr txBox="1"/>
      </xdr:nvSpPr>
      <xdr:spPr>
        <a:xfrm>
          <a:off x="123826" y="2343150"/>
          <a:ext cx="1533524" cy="328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300" b="1" i="0" u="none" strike="noStrike">
              <a:solidFill>
                <a:schemeClr val="bg1"/>
              </a:solidFill>
              <a:latin typeface="Times New Roman" panose="02020603050405020304" pitchFamily="18" charset="0"/>
              <a:cs typeface="Times New Roman" panose="02020603050405020304" pitchFamily="18" charset="0"/>
            </a:rPr>
            <a:t>Communication</a:t>
          </a:r>
        </a:p>
      </xdr:txBody>
    </xdr:sp>
    <xdr:clientData/>
  </xdr:twoCellAnchor>
  <xdr:twoCellAnchor>
    <xdr:from>
      <xdr:col>0</xdr:col>
      <xdr:colOff>123826</xdr:colOff>
      <xdr:row>19</xdr:row>
      <xdr:rowOff>52524</xdr:rowOff>
    </xdr:from>
    <xdr:to>
      <xdr:col>1</xdr:col>
      <xdr:colOff>478464</xdr:colOff>
      <xdr:row>20</xdr:row>
      <xdr:rowOff>190499</xdr:rowOff>
    </xdr:to>
    <xdr:sp macro="" textlink="">
      <xdr:nvSpPr>
        <xdr:cNvPr id="24" name="TextBox 23">
          <a:extLst>
            <a:ext uri="{FF2B5EF4-FFF2-40B4-BE49-F238E27FC236}">
              <a16:creationId xmlns:a16="http://schemas.microsoft.com/office/drawing/2014/main" id="{00000000-0008-0000-0200-000018000000}"/>
            </a:ext>
          </a:extLst>
        </xdr:cNvPr>
        <xdr:cNvSpPr txBox="1"/>
      </xdr:nvSpPr>
      <xdr:spPr>
        <a:xfrm>
          <a:off x="123826" y="3672024"/>
          <a:ext cx="964238" cy="328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300" b="1" i="0" u="none" strike="noStrike">
              <a:solidFill>
                <a:schemeClr val="bg1"/>
              </a:solidFill>
              <a:latin typeface="Times New Roman" panose="02020603050405020304" pitchFamily="18" charset="0"/>
              <a:cs typeface="Times New Roman" panose="02020603050405020304" pitchFamily="18" charset="0"/>
            </a:rPr>
            <a:t>Python</a:t>
          </a:r>
        </a:p>
      </xdr:txBody>
    </xdr:sp>
    <xdr:clientData/>
  </xdr:twoCellAnchor>
  <xdr:twoCellAnchor>
    <xdr:from>
      <xdr:col>0</xdr:col>
      <xdr:colOff>123826</xdr:colOff>
      <xdr:row>15</xdr:row>
      <xdr:rowOff>145145</xdr:rowOff>
    </xdr:from>
    <xdr:to>
      <xdr:col>2</xdr:col>
      <xdr:colOff>414358</xdr:colOff>
      <xdr:row>17</xdr:row>
      <xdr:rowOff>92620</xdr:rowOff>
    </xdr:to>
    <xdr:sp macro="" textlink="">
      <xdr:nvSpPr>
        <xdr:cNvPr id="25" name="TextBox 24">
          <a:extLst>
            <a:ext uri="{FF2B5EF4-FFF2-40B4-BE49-F238E27FC236}">
              <a16:creationId xmlns:a16="http://schemas.microsoft.com/office/drawing/2014/main" id="{00000000-0008-0000-0200-000019000000}"/>
            </a:ext>
          </a:extLst>
        </xdr:cNvPr>
        <xdr:cNvSpPr txBox="1"/>
      </xdr:nvSpPr>
      <xdr:spPr>
        <a:xfrm>
          <a:off x="123826" y="3002645"/>
          <a:ext cx="1509732" cy="328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300" b="1" i="0" u="none" strike="noStrike">
              <a:solidFill>
                <a:schemeClr val="bg1"/>
              </a:solidFill>
              <a:latin typeface="Times New Roman" panose="02020603050405020304" pitchFamily="18" charset="0"/>
              <a:cs typeface="Times New Roman" panose="02020603050405020304" pitchFamily="18" charset="0"/>
            </a:rPr>
            <a:t>Excel</a:t>
          </a:r>
        </a:p>
      </xdr:txBody>
    </xdr:sp>
    <xdr:clientData/>
  </xdr:twoCellAnchor>
  <xdr:twoCellAnchor>
    <xdr:from>
      <xdr:col>0</xdr:col>
      <xdr:colOff>123826</xdr:colOff>
      <xdr:row>17</xdr:row>
      <xdr:rowOff>105789</xdr:rowOff>
    </xdr:from>
    <xdr:to>
      <xdr:col>2</xdr:col>
      <xdr:colOff>373588</xdr:colOff>
      <xdr:row>19</xdr:row>
      <xdr:rowOff>67353</xdr:rowOff>
    </xdr:to>
    <xdr:sp macro="" textlink="">
      <xdr:nvSpPr>
        <xdr:cNvPr id="26" name="TextBox 25">
          <a:extLst>
            <a:ext uri="{FF2B5EF4-FFF2-40B4-BE49-F238E27FC236}">
              <a16:creationId xmlns:a16="http://schemas.microsoft.com/office/drawing/2014/main" id="{00000000-0008-0000-0200-00001A000000}"/>
            </a:ext>
          </a:extLst>
        </xdr:cNvPr>
        <xdr:cNvSpPr txBox="1"/>
      </xdr:nvSpPr>
      <xdr:spPr>
        <a:xfrm>
          <a:off x="123826" y="3344289"/>
          <a:ext cx="1468962" cy="3425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1300" b="1" i="0" u="none" strike="noStrike">
              <a:solidFill>
                <a:schemeClr val="bg1"/>
              </a:solidFill>
              <a:latin typeface="Times New Roman" panose="02020603050405020304" pitchFamily="18" charset="0"/>
              <a:cs typeface="Times New Roman" panose="02020603050405020304" pitchFamily="18" charset="0"/>
            </a:rPr>
            <a:t>Management</a:t>
          </a:r>
        </a:p>
      </xdr:txBody>
    </xdr:sp>
    <xdr:clientData/>
  </xdr:twoCellAnchor>
  <xdr:twoCellAnchor>
    <xdr:from>
      <xdr:col>0</xdr:col>
      <xdr:colOff>123826</xdr:colOff>
      <xdr:row>14</xdr:row>
      <xdr:rowOff>352</xdr:rowOff>
    </xdr:from>
    <xdr:to>
      <xdr:col>2</xdr:col>
      <xdr:colOff>83154</xdr:colOff>
      <xdr:row>15</xdr:row>
      <xdr:rowOff>142356</xdr:rowOff>
    </xdr:to>
    <xdr:sp macro="" textlink="">
      <xdr:nvSpPr>
        <xdr:cNvPr id="27" name="TextBox 26">
          <a:extLst>
            <a:ext uri="{FF2B5EF4-FFF2-40B4-BE49-F238E27FC236}">
              <a16:creationId xmlns:a16="http://schemas.microsoft.com/office/drawing/2014/main" id="{00000000-0008-0000-0200-00001B000000}"/>
            </a:ext>
          </a:extLst>
        </xdr:cNvPr>
        <xdr:cNvSpPr txBox="1"/>
      </xdr:nvSpPr>
      <xdr:spPr>
        <a:xfrm>
          <a:off x="123826" y="2667352"/>
          <a:ext cx="1178528" cy="3325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300" b="1" i="0" u="none" strike="noStrike">
              <a:solidFill>
                <a:schemeClr val="bg1"/>
              </a:solidFill>
              <a:latin typeface="Times New Roman" panose="02020603050405020304" pitchFamily="18" charset="0"/>
              <a:cs typeface="Times New Roman" panose="02020603050405020304" pitchFamily="18" charset="0"/>
            </a:rPr>
            <a:t>Design</a:t>
          </a:r>
        </a:p>
      </xdr:txBody>
    </xdr:sp>
    <xdr:clientData/>
  </xdr:twoCellAnchor>
  <xdr:twoCellAnchor>
    <xdr:from>
      <xdr:col>1</xdr:col>
      <xdr:colOff>419101</xdr:colOff>
      <xdr:row>12</xdr:row>
      <xdr:rowOff>47626</xdr:rowOff>
    </xdr:from>
    <xdr:to>
      <xdr:col>3</xdr:col>
      <xdr:colOff>276225</xdr:colOff>
      <xdr:row>13</xdr:row>
      <xdr:rowOff>181288</xdr:rowOff>
    </xdr:to>
    <xdr:sp macro="" textlink="Sheet3!R12">
      <xdr:nvSpPr>
        <xdr:cNvPr id="59" name="TextBox 58">
          <a:extLst>
            <a:ext uri="{FF2B5EF4-FFF2-40B4-BE49-F238E27FC236}">
              <a16:creationId xmlns:a16="http://schemas.microsoft.com/office/drawing/2014/main" id="{00000000-0008-0000-0200-00003B000000}"/>
            </a:ext>
          </a:extLst>
        </xdr:cNvPr>
        <xdr:cNvSpPr txBox="1"/>
      </xdr:nvSpPr>
      <xdr:spPr>
        <a:xfrm>
          <a:off x="1029943" y="2356403"/>
          <a:ext cx="1078809" cy="32002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r"/>
          <a:fld id="{71CE81D6-9CE0-4AB0-8042-DF12DF948D39}" type="TxLink">
            <a:rPr lang="en-US" sz="1300" b="1" i="0" u="none" strike="noStrike">
              <a:solidFill>
                <a:srgbClr val="E3B244"/>
              </a:solidFill>
              <a:latin typeface="Times New Roman" panose="02020603050405020304" pitchFamily="18" charset="0"/>
              <a:ea typeface="+mn-ea"/>
              <a:cs typeface="Times New Roman" panose="02020603050405020304" pitchFamily="18" charset="0"/>
            </a:rPr>
            <a:pPr marL="0" indent="0" algn="r"/>
            <a:t>12</a:t>
          </a:fld>
          <a:endParaRPr lang="en-US" sz="1300" b="1" i="0" u="none" strike="noStrike">
            <a:solidFill>
              <a:srgbClr val="E3B244"/>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2</xdr:col>
      <xdr:colOff>208742</xdr:colOff>
      <xdr:row>19</xdr:row>
      <xdr:rowOff>37788</xdr:rowOff>
    </xdr:from>
    <xdr:to>
      <xdr:col>3</xdr:col>
      <xdr:colOff>276225</xdr:colOff>
      <xdr:row>20</xdr:row>
      <xdr:rowOff>171450</xdr:rowOff>
    </xdr:to>
    <xdr:sp macro="" textlink="Sheet3!R16">
      <xdr:nvSpPr>
        <xdr:cNvPr id="60" name="TextBox 59">
          <a:extLst>
            <a:ext uri="{FF2B5EF4-FFF2-40B4-BE49-F238E27FC236}">
              <a16:creationId xmlns:a16="http://schemas.microsoft.com/office/drawing/2014/main" id="{00000000-0008-0000-0200-00003C000000}"/>
            </a:ext>
          </a:extLst>
        </xdr:cNvPr>
        <xdr:cNvSpPr txBox="1"/>
      </xdr:nvSpPr>
      <xdr:spPr>
        <a:xfrm>
          <a:off x="1430427" y="3651076"/>
          <a:ext cx="678325" cy="32002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r"/>
          <a:fld id="{B586B1DC-8AA9-4782-B124-391F6208DE44}" type="TxLink">
            <a:rPr lang="en-US" sz="1300" b="1" i="0" u="none" strike="noStrike">
              <a:solidFill>
                <a:srgbClr val="E3B244"/>
              </a:solidFill>
              <a:latin typeface="Times New Roman" panose="02020603050405020304" pitchFamily="18" charset="0"/>
              <a:ea typeface="+mn-ea"/>
              <a:cs typeface="Times New Roman" panose="02020603050405020304" pitchFamily="18" charset="0"/>
            </a:rPr>
            <a:pPr marL="0" indent="0" algn="r"/>
            <a:t>9</a:t>
          </a:fld>
          <a:endParaRPr lang="en-US" sz="1300" b="1" i="0" u="none" strike="noStrike">
            <a:solidFill>
              <a:srgbClr val="E3B244"/>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xdr:col>
      <xdr:colOff>435838</xdr:colOff>
      <xdr:row>15</xdr:row>
      <xdr:rowOff>131072</xdr:rowOff>
    </xdr:from>
    <xdr:to>
      <xdr:col>3</xdr:col>
      <xdr:colOff>276225</xdr:colOff>
      <xdr:row>17</xdr:row>
      <xdr:rowOff>78375</xdr:rowOff>
    </xdr:to>
    <xdr:sp macro="" textlink="Sheet3!R15">
      <xdr:nvSpPr>
        <xdr:cNvPr id="61" name="TextBox 60">
          <a:extLst>
            <a:ext uri="{FF2B5EF4-FFF2-40B4-BE49-F238E27FC236}">
              <a16:creationId xmlns:a16="http://schemas.microsoft.com/office/drawing/2014/main" id="{00000000-0008-0000-0200-00003D000000}"/>
            </a:ext>
          </a:extLst>
        </xdr:cNvPr>
        <xdr:cNvSpPr txBox="1"/>
      </xdr:nvSpPr>
      <xdr:spPr>
        <a:xfrm>
          <a:off x="1046680" y="2998925"/>
          <a:ext cx="1062072" cy="32002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r"/>
          <a:fld id="{7A420740-E517-4CA5-BB1C-9E32851A6FE0}" type="TxLink">
            <a:rPr lang="en-US" sz="1300" b="1" i="0" u="none" strike="noStrike">
              <a:solidFill>
                <a:srgbClr val="E3B244"/>
              </a:solidFill>
              <a:latin typeface="Times New Roman" panose="02020603050405020304" pitchFamily="18" charset="0"/>
              <a:ea typeface="+mn-ea"/>
              <a:cs typeface="Times New Roman" panose="02020603050405020304" pitchFamily="18" charset="0"/>
            </a:rPr>
            <a:pPr marL="0" indent="0" algn="r"/>
            <a:t>11</a:t>
          </a:fld>
          <a:endParaRPr lang="en-US" sz="1300" b="1" i="0" u="none" strike="noStrike">
            <a:solidFill>
              <a:srgbClr val="E3B244"/>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xdr:col>
      <xdr:colOff>464520</xdr:colOff>
      <xdr:row>17</xdr:row>
      <xdr:rowOff>91204</xdr:rowOff>
    </xdr:from>
    <xdr:to>
      <xdr:col>3</xdr:col>
      <xdr:colOff>276225</xdr:colOff>
      <xdr:row>19</xdr:row>
      <xdr:rowOff>52234</xdr:rowOff>
    </xdr:to>
    <xdr:sp macro="" textlink="Sheet3!R16">
      <xdr:nvSpPr>
        <xdr:cNvPr id="62" name="TextBox 61">
          <a:extLst>
            <a:ext uri="{FF2B5EF4-FFF2-40B4-BE49-F238E27FC236}">
              <a16:creationId xmlns:a16="http://schemas.microsoft.com/office/drawing/2014/main" id="{00000000-0008-0000-0200-00003E000000}"/>
            </a:ext>
          </a:extLst>
        </xdr:cNvPr>
        <xdr:cNvSpPr txBox="1"/>
      </xdr:nvSpPr>
      <xdr:spPr>
        <a:xfrm>
          <a:off x="1075362" y="3331775"/>
          <a:ext cx="1033390" cy="33374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r"/>
          <a:fld id="{6EF91E6C-D9A9-4E4A-8C66-04611DB4FD92}" type="TxLink">
            <a:rPr lang="en-US" sz="1300" b="1" i="0" u="none" strike="noStrike">
              <a:solidFill>
                <a:srgbClr val="E3B244"/>
              </a:solidFill>
              <a:latin typeface="Times New Roman" panose="02020603050405020304" pitchFamily="18" charset="0"/>
              <a:ea typeface="+mn-ea"/>
              <a:cs typeface="Times New Roman" panose="02020603050405020304" pitchFamily="18" charset="0"/>
            </a:rPr>
            <a:pPr marL="0" indent="0" algn="r"/>
            <a:t>9</a:t>
          </a:fld>
          <a:endParaRPr lang="en-US" sz="1300" b="1" i="0" u="none" strike="noStrike">
            <a:solidFill>
              <a:srgbClr val="E3B244"/>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2</xdr:col>
      <xdr:colOff>57991</xdr:colOff>
      <xdr:row>13</xdr:row>
      <xdr:rowOff>177125</xdr:rowOff>
    </xdr:from>
    <xdr:to>
      <xdr:col>3</xdr:col>
      <xdr:colOff>276225</xdr:colOff>
      <xdr:row>15</xdr:row>
      <xdr:rowOff>128354</xdr:rowOff>
    </xdr:to>
    <xdr:sp macro="" textlink="Sheet3!R13">
      <xdr:nvSpPr>
        <xdr:cNvPr id="63" name="TextBox 62">
          <a:extLst>
            <a:ext uri="{FF2B5EF4-FFF2-40B4-BE49-F238E27FC236}">
              <a16:creationId xmlns:a16="http://schemas.microsoft.com/office/drawing/2014/main" id="{00000000-0008-0000-0200-00003F000000}"/>
            </a:ext>
          </a:extLst>
        </xdr:cNvPr>
        <xdr:cNvSpPr txBox="1"/>
      </xdr:nvSpPr>
      <xdr:spPr>
        <a:xfrm>
          <a:off x="1279676" y="2672261"/>
          <a:ext cx="829076" cy="32394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r"/>
          <a:fld id="{8F71FC85-F2A2-494B-9550-B6370075FBE4}" type="TxLink">
            <a:rPr lang="en-US" sz="1300" b="1" i="0" u="none" strike="noStrike">
              <a:solidFill>
                <a:srgbClr val="E3B244"/>
              </a:solidFill>
              <a:latin typeface="Times New Roman" panose="02020603050405020304" pitchFamily="18" charset="0"/>
              <a:ea typeface="+mn-ea"/>
              <a:cs typeface="Times New Roman" panose="02020603050405020304" pitchFamily="18" charset="0"/>
            </a:rPr>
            <a:pPr marL="0" indent="0" algn="r"/>
            <a:t>11</a:t>
          </a:fld>
          <a:endParaRPr lang="en-US" sz="1300" b="1" i="0" u="none" strike="noStrike">
            <a:solidFill>
              <a:srgbClr val="E3B244"/>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0</xdr:col>
      <xdr:colOff>419501</xdr:colOff>
      <xdr:row>8</xdr:row>
      <xdr:rowOff>144318</xdr:rowOff>
    </xdr:from>
    <xdr:to>
      <xdr:col>3</xdr:col>
      <xdr:colOff>574856</xdr:colOff>
      <xdr:row>12</xdr:row>
      <xdr:rowOff>122561</xdr:rowOff>
    </xdr:to>
    <xdr:sp macro="" textlink="Sheet3!E16">
      <xdr:nvSpPr>
        <xdr:cNvPr id="1027" name="TextBox 1026">
          <a:extLst>
            <a:ext uri="{FF2B5EF4-FFF2-40B4-BE49-F238E27FC236}">
              <a16:creationId xmlns:a16="http://schemas.microsoft.com/office/drawing/2014/main" id="{00000000-0008-0000-0200-000003040000}"/>
            </a:ext>
          </a:extLst>
        </xdr:cNvPr>
        <xdr:cNvSpPr txBox="1"/>
      </xdr:nvSpPr>
      <xdr:spPr>
        <a:xfrm>
          <a:off x="419501" y="1645227"/>
          <a:ext cx="1973764" cy="8008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800" b="1" i="0" u="none" strike="noStrike" baseline="0">
              <a:solidFill>
                <a:srgbClr val="FDF449"/>
              </a:solidFill>
              <a:latin typeface="Times New Roman" panose="02020603050405020304" pitchFamily="18" charset="0"/>
              <a:cs typeface="Times New Roman" panose="02020603050405020304" pitchFamily="18" charset="0"/>
            </a:rPr>
            <a:t>Skills</a:t>
          </a:r>
        </a:p>
        <a:p>
          <a:pPr algn="l"/>
          <a:r>
            <a:rPr lang="en-US" sz="1800" b="1" i="0" u="none" strike="noStrike" baseline="0">
              <a:solidFill>
                <a:srgbClr val="FDF449"/>
              </a:solidFill>
              <a:latin typeface="Times New Roman" panose="02020603050405020304" pitchFamily="18" charset="0"/>
              <a:cs typeface="Times New Roman" panose="02020603050405020304" pitchFamily="18" charset="0"/>
            </a:rPr>
            <a:t>Breakdown</a:t>
          </a:r>
          <a:endParaRPr lang="en-US" sz="1800" b="1" i="0" u="none" strike="noStrike" baseline="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424483</xdr:colOff>
      <xdr:row>5</xdr:row>
      <xdr:rowOff>113887</xdr:rowOff>
    </xdr:from>
    <xdr:to>
      <xdr:col>7</xdr:col>
      <xdr:colOff>139212</xdr:colOff>
      <xdr:row>8</xdr:row>
      <xdr:rowOff>44641</xdr:rowOff>
    </xdr:to>
    <xdr:sp macro="" textlink="Sheet3!E16">
      <xdr:nvSpPr>
        <xdr:cNvPr id="1028" name="TextBox 1027">
          <a:extLst>
            <a:ext uri="{FF2B5EF4-FFF2-40B4-BE49-F238E27FC236}">
              <a16:creationId xmlns:a16="http://schemas.microsoft.com/office/drawing/2014/main" id="{00000000-0008-0000-0200-000004040000}"/>
            </a:ext>
          </a:extLst>
        </xdr:cNvPr>
        <xdr:cNvSpPr txBox="1"/>
      </xdr:nvSpPr>
      <xdr:spPr>
        <a:xfrm>
          <a:off x="2248887" y="1066387"/>
          <a:ext cx="2147267" cy="5022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800" b="1" i="0" u="none" strike="noStrike" baseline="0">
              <a:solidFill>
                <a:srgbClr val="FDF449"/>
              </a:solidFill>
              <a:latin typeface="Times New Roman" panose="02020603050405020304" pitchFamily="18" charset="0"/>
              <a:cs typeface="Times New Roman" panose="02020603050405020304" pitchFamily="18" charset="0"/>
            </a:rPr>
            <a:t>Employees Number     </a:t>
          </a:r>
          <a:endParaRPr lang="en-US" sz="1800" b="1" i="0" u="none" strike="noStrike" baseline="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424483</xdr:colOff>
      <xdr:row>10</xdr:row>
      <xdr:rowOff>20706</xdr:rowOff>
    </xdr:from>
    <xdr:to>
      <xdr:col>6</xdr:col>
      <xdr:colOff>279537</xdr:colOff>
      <xdr:row>12</xdr:row>
      <xdr:rowOff>52095</xdr:rowOff>
    </xdr:to>
    <xdr:sp macro="" textlink="">
      <xdr:nvSpPr>
        <xdr:cNvPr id="1029" name="TextBox 1028">
          <a:extLst>
            <a:ext uri="{FF2B5EF4-FFF2-40B4-BE49-F238E27FC236}">
              <a16:creationId xmlns:a16="http://schemas.microsoft.com/office/drawing/2014/main" id="{00000000-0008-0000-0200-000005040000}"/>
            </a:ext>
          </a:extLst>
        </xdr:cNvPr>
        <xdr:cNvSpPr txBox="1"/>
      </xdr:nvSpPr>
      <xdr:spPr>
        <a:xfrm>
          <a:off x="2257010" y="1884293"/>
          <a:ext cx="1687581" cy="4041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400" b="1" i="0" u="none" strike="noStrike" baseline="0">
              <a:solidFill>
                <a:schemeClr val="bg1"/>
              </a:solidFill>
              <a:latin typeface="Times New Roman" panose="02020603050405020304" pitchFamily="18" charset="0"/>
              <a:cs typeface="Times New Roman" panose="02020603050405020304" pitchFamily="18" charset="0"/>
            </a:rPr>
            <a:t>Total Employees</a:t>
          </a:r>
        </a:p>
      </xdr:txBody>
    </xdr:sp>
    <xdr:clientData/>
  </xdr:twoCellAnchor>
  <xdr:twoCellAnchor>
    <xdr:from>
      <xdr:col>3</xdr:col>
      <xdr:colOff>248478</xdr:colOff>
      <xdr:row>7</xdr:row>
      <xdr:rowOff>141735</xdr:rowOff>
    </xdr:from>
    <xdr:to>
      <xdr:col>4</xdr:col>
      <xdr:colOff>510780</xdr:colOff>
      <xdr:row>10</xdr:row>
      <xdr:rowOff>69903</xdr:rowOff>
    </xdr:to>
    <xdr:sp macro="" textlink="Sheet3!M13">
      <xdr:nvSpPr>
        <xdr:cNvPr id="1030" name="TextBox 1029">
          <a:extLst>
            <a:ext uri="{FF2B5EF4-FFF2-40B4-BE49-F238E27FC236}">
              <a16:creationId xmlns:a16="http://schemas.microsoft.com/office/drawing/2014/main" id="{00000000-0008-0000-0200-000006040000}"/>
            </a:ext>
          </a:extLst>
        </xdr:cNvPr>
        <xdr:cNvSpPr txBox="1"/>
      </xdr:nvSpPr>
      <xdr:spPr>
        <a:xfrm>
          <a:off x="2081005" y="1446246"/>
          <a:ext cx="873145" cy="4872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r"/>
          <a:fld id="{F2EC5D45-B666-45E2-BEEA-42322006F368}" type="TxLink">
            <a:rPr lang="en-US" sz="4400" b="1" i="0" u="none" strike="noStrike">
              <a:solidFill>
                <a:schemeClr val="bg1"/>
              </a:solidFill>
              <a:latin typeface="Times New Roman" panose="02020603050405020304" pitchFamily="18" charset="0"/>
              <a:ea typeface="+mn-ea"/>
              <a:cs typeface="Times New Roman" panose="02020603050405020304" pitchFamily="18" charset="0"/>
            </a:rPr>
            <a:pPr marL="0" indent="0" algn="r"/>
            <a:t>50</a:t>
          </a:fld>
          <a:endParaRPr lang="en-US" sz="4400" b="1" i="0" u="none" strike="noStrike">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5</xdr:col>
      <xdr:colOff>332703</xdr:colOff>
      <xdr:row>13</xdr:row>
      <xdr:rowOff>134593</xdr:rowOff>
    </xdr:from>
    <xdr:to>
      <xdr:col>7</xdr:col>
      <xdr:colOff>320952</xdr:colOff>
      <xdr:row>19</xdr:row>
      <xdr:rowOff>9937</xdr:rowOff>
    </xdr:to>
    <xdr:graphicFrame macro="">
      <xdr:nvGraphicFramePr>
        <xdr:cNvPr id="1031" name="Chart 1030">
          <a:extLst>
            <a:ext uri="{FF2B5EF4-FFF2-40B4-BE49-F238E27FC236}">
              <a16:creationId xmlns:a16="http://schemas.microsoft.com/office/drawing/2014/main" id="{00000000-0008-0000-0200-000007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445190</xdr:colOff>
      <xdr:row>13</xdr:row>
      <xdr:rowOff>82827</xdr:rowOff>
    </xdr:from>
    <xdr:to>
      <xdr:col>5</xdr:col>
      <xdr:colOff>341657</xdr:colOff>
      <xdr:row>19</xdr:row>
      <xdr:rowOff>62121</xdr:rowOff>
    </xdr:to>
    <xdr:graphicFrame macro="">
      <xdr:nvGraphicFramePr>
        <xdr:cNvPr id="1032" name="Chart 1031">
          <a:extLst>
            <a:ext uri="{FF2B5EF4-FFF2-40B4-BE49-F238E27FC236}">
              <a16:creationId xmlns:a16="http://schemas.microsoft.com/office/drawing/2014/main" id="{00000000-0008-0000-0200-000008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483894</xdr:colOff>
      <xdr:row>12</xdr:row>
      <xdr:rowOff>161412</xdr:rowOff>
    </xdr:from>
    <xdr:to>
      <xdr:col>7</xdr:col>
      <xdr:colOff>355133</xdr:colOff>
      <xdr:row>14</xdr:row>
      <xdr:rowOff>97946</xdr:rowOff>
    </xdr:to>
    <xdr:sp macro="" textlink="Sheet3!E16">
      <xdr:nvSpPr>
        <xdr:cNvPr id="1038" name="TextBox 1037">
          <a:extLst>
            <a:ext uri="{FF2B5EF4-FFF2-40B4-BE49-F238E27FC236}">
              <a16:creationId xmlns:a16="http://schemas.microsoft.com/office/drawing/2014/main" id="{00000000-0008-0000-0200-00000E040000}"/>
            </a:ext>
          </a:extLst>
        </xdr:cNvPr>
        <xdr:cNvSpPr txBox="1"/>
      </xdr:nvSpPr>
      <xdr:spPr>
        <a:xfrm>
          <a:off x="3507704" y="2580460"/>
          <a:ext cx="1080762" cy="32962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600" b="1" i="0" u="none" strike="noStrike" baseline="0">
              <a:solidFill>
                <a:srgbClr val="FDF449"/>
              </a:solidFill>
              <a:latin typeface="Times New Roman" panose="02020603050405020304" pitchFamily="18" charset="0"/>
              <a:cs typeface="Times New Roman" panose="02020603050405020304" pitchFamily="18" charset="0"/>
            </a:rPr>
            <a:t>Female</a:t>
          </a:r>
        </a:p>
      </xdr:txBody>
    </xdr:sp>
    <xdr:clientData/>
  </xdr:twoCellAnchor>
  <xdr:twoCellAnchor>
    <xdr:from>
      <xdr:col>3</xdr:col>
      <xdr:colOff>452606</xdr:colOff>
      <xdr:row>13</xdr:row>
      <xdr:rowOff>72167</xdr:rowOff>
    </xdr:from>
    <xdr:to>
      <xdr:col>4</xdr:col>
      <xdr:colOff>374050</xdr:colOff>
      <xdr:row>14</xdr:row>
      <xdr:rowOff>21749</xdr:rowOff>
    </xdr:to>
    <xdr:sp macro="" textlink="Sheet3!E16">
      <xdr:nvSpPr>
        <xdr:cNvPr id="1039" name="TextBox 1038">
          <a:extLst>
            <a:ext uri="{FF2B5EF4-FFF2-40B4-BE49-F238E27FC236}">
              <a16:creationId xmlns:a16="http://schemas.microsoft.com/office/drawing/2014/main" id="{00000000-0008-0000-0200-00000F040000}"/>
            </a:ext>
          </a:extLst>
        </xdr:cNvPr>
        <xdr:cNvSpPr txBox="1"/>
      </xdr:nvSpPr>
      <xdr:spPr>
        <a:xfrm>
          <a:off x="2266892" y="2687762"/>
          <a:ext cx="526206" cy="14613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600" b="1" i="0" u="none" strike="noStrike" baseline="0">
              <a:solidFill>
                <a:schemeClr val="bg1"/>
              </a:solidFill>
              <a:latin typeface="Times New Roman" panose="02020603050405020304" pitchFamily="18" charset="0"/>
              <a:cs typeface="Times New Roman" panose="02020603050405020304" pitchFamily="18" charset="0"/>
            </a:rPr>
            <a:t>Male</a:t>
          </a:r>
        </a:p>
      </xdr:txBody>
    </xdr:sp>
    <xdr:clientData/>
  </xdr:twoCellAnchor>
  <xdr:twoCellAnchor>
    <xdr:from>
      <xdr:col>3</xdr:col>
      <xdr:colOff>548723</xdr:colOff>
      <xdr:row>15</xdr:row>
      <xdr:rowOff>93178</xdr:rowOff>
    </xdr:from>
    <xdr:to>
      <xdr:col>5</xdr:col>
      <xdr:colOff>124239</xdr:colOff>
      <xdr:row>17</xdr:row>
      <xdr:rowOff>124237</xdr:rowOff>
    </xdr:to>
    <xdr:sp macro="" textlink="">
      <xdr:nvSpPr>
        <xdr:cNvPr id="1044" name="TextBox 58">
          <a:extLst>
            <a:ext uri="{FF2B5EF4-FFF2-40B4-BE49-F238E27FC236}">
              <a16:creationId xmlns:a16="http://schemas.microsoft.com/office/drawing/2014/main" id="{00000000-0008-0000-0200-000014040000}"/>
            </a:ext>
          </a:extLst>
        </xdr:cNvPr>
        <xdr:cNvSpPr txBox="1"/>
      </xdr:nvSpPr>
      <xdr:spPr>
        <a:xfrm>
          <a:off x="2381250" y="2961031"/>
          <a:ext cx="797201" cy="40377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ctr">
          <a:no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marL="0" indent="0" algn="r"/>
          <a:r>
            <a:rPr lang="en-US" sz="2000" b="1" i="0" u="none" strike="noStrike">
              <a:solidFill>
                <a:schemeClr val="bg1"/>
              </a:solidFill>
              <a:latin typeface="Times New Roman"/>
              <a:ea typeface="+mn-ea"/>
              <a:cs typeface="Times New Roman"/>
            </a:rPr>
            <a:t>52%</a:t>
          </a:r>
        </a:p>
      </xdr:txBody>
    </xdr:sp>
    <xdr:clientData/>
  </xdr:twoCellAnchor>
  <xdr:twoCellAnchor>
    <xdr:from>
      <xdr:col>6</xdr:col>
      <xdr:colOff>31061</xdr:colOff>
      <xdr:row>14</xdr:row>
      <xdr:rowOff>155297</xdr:rowOff>
    </xdr:from>
    <xdr:to>
      <xdr:col>7</xdr:col>
      <xdr:colOff>144945</xdr:colOff>
      <xdr:row>18</xdr:row>
      <xdr:rowOff>103532</xdr:rowOff>
    </xdr:to>
    <xdr:sp macro="" textlink="Sheet3!I21">
      <xdr:nvSpPr>
        <xdr:cNvPr id="1045" name="TextBox 58">
          <a:extLst>
            <a:ext uri="{FF2B5EF4-FFF2-40B4-BE49-F238E27FC236}">
              <a16:creationId xmlns:a16="http://schemas.microsoft.com/office/drawing/2014/main" id="{00000000-0008-0000-0200-000015040000}"/>
            </a:ext>
          </a:extLst>
        </xdr:cNvPr>
        <xdr:cNvSpPr txBox="1"/>
      </xdr:nvSpPr>
      <xdr:spPr>
        <a:xfrm>
          <a:off x="3696115" y="2836792"/>
          <a:ext cx="724727" cy="69366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ctr">
          <a:no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marL="0" indent="0" algn="r"/>
          <a:fld id="{EE0A855B-D137-4940-96BC-B1CED73BE0F5}" type="TxLink">
            <a:rPr lang="en-US" sz="1800" b="1" i="0" u="none" strike="noStrike">
              <a:solidFill>
                <a:schemeClr val="bg1"/>
              </a:solidFill>
              <a:latin typeface="Times New Roman"/>
              <a:ea typeface="+mn-ea"/>
              <a:cs typeface="Times New Roman"/>
            </a:rPr>
            <a:pPr marL="0" indent="0" algn="r"/>
            <a:t>48%</a:t>
          </a:fld>
          <a:endParaRPr lang="en-US" sz="1800" b="1" i="0" u="none" strike="noStrike">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8</xdr:col>
      <xdr:colOff>30238</xdr:colOff>
      <xdr:row>8</xdr:row>
      <xdr:rowOff>166309</xdr:rowOff>
    </xdr:from>
    <xdr:to>
      <xdr:col>12</xdr:col>
      <xdr:colOff>45357</xdr:colOff>
      <xdr:row>17</xdr:row>
      <xdr:rowOff>181428</xdr:rowOff>
    </xdr:to>
    <xdr:graphicFrame macro="">
      <xdr:nvGraphicFramePr>
        <xdr:cNvPr id="1049" name="Chart 1048">
          <a:extLst>
            <a:ext uri="{FF2B5EF4-FFF2-40B4-BE49-F238E27FC236}">
              <a16:creationId xmlns:a16="http://schemas.microsoft.com/office/drawing/2014/main" id="{00000000-0008-0000-0200-000019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8</xdr:col>
      <xdr:colOff>151190</xdr:colOff>
      <xdr:row>13</xdr:row>
      <xdr:rowOff>75595</xdr:rowOff>
    </xdr:from>
    <xdr:ext cx="431528" cy="311496"/>
    <xdr:sp macro="" textlink="Sheet3!F11">
      <xdr:nvSpPr>
        <xdr:cNvPr id="1050" name="TextBox 1049">
          <a:extLst>
            <a:ext uri="{FF2B5EF4-FFF2-40B4-BE49-F238E27FC236}">
              <a16:creationId xmlns:a16="http://schemas.microsoft.com/office/drawing/2014/main" id="{00000000-0008-0000-0200-00001A040000}"/>
            </a:ext>
          </a:extLst>
        </xdr:cNvPr>
        <xdr:cNvSpPr txBox="1"/>
      </xdr:nvSpPr>
      <xdr:spPr>
        <a:xfrm>
          <a:off x="5044032" y="2622279"/>
          <a:ext cx="43152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95EE3595-D80A-4408-BFE3-EFF72FBA6D57}" type="TxLink">
            <a:rPr lang="en-US" sz="1400" b="1" i="0" u="none" strike="noStrike">
              <a:solidFill>
                <a:schemeClr val="bg1"/>
              </a:solidFill>
              <a:latin typeface="Aptos Narrow"/>
              <a:ea typeface="+mn-ea"/>
              <a:cs typeface="+mn-cs"/>
            </a:rPr>
            <a:pPr marL="0" indent="0"/>
            <a:t> 28 </a:t>
          </a:fld>
          <a:endParaRPr lang="en-US" sz="1400" b="1" i="0" u="none" strike="noStrike">
            <a:solidFill>
              <a:schemeClr val="bg1"/>
            </a:solidFill>
            <a:latin typeface="Aptos Narrow"/>
            <a:ea typeface="+mn-ea"/>
            <a:cs typeface="+mn-cs"/>
          </a:endParaRPr>
        </a:p>
      </xdr:txBody>
    </xdr:sp>
    <xdr:clientData/>
  </xdr:oneCellAnchor>
  <xdr:twoCellAnchor>
    <xdr:from>
      <xdr:col>8</xdr:col>
      <xdr:colOff>187303</xdr:colOff>
      <xdr:row>16</xdr:row>
      <xdr:rowOff>56172</xdr:rowOff>
    </xdr:from>
    <xdr:to>
      <xdr:col>9</xdr:col>
      <xdr:colOff>589642</xdr:colOff>
      <xdr:row>17</xdr:row>
      <xdr:rowOff>120952</xdr:rowOff>
    </xdr:to>
    <xdr:sp macro="" textlink="Sheet3!E16">
      <xdr:nvSpPr>
        <xdr:cNvPr id="1056" name="TextBox 1055">
          <a:extLst>
            <a:ext uri="{FF2B5EF4-FFF2-40B4-BE49-F238E27FC236}">
              <a16:creationId xmlns:a16="http://schemas.microsoft.com/office/drawing/2014/main" id="{00000000-0008-0000-0200-000020040000}"/>
            </a:ext>
          </a:extLst>
        </xdr:cNvPr>
        <xdr:cNvSpPr txBox="1"/>
      </xdr:nvSpPr>
      <xdr:spPr>
        <a:xfrm>
          <a:off x="5025398" y="3261410"/>
          <a:ext cx="1007101" cy="2613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l"/>
          <a:r>
            <a:rPr lang="en-US" sz="1050" b="1" i="0" u="none" strike="noStrike" baseline="0">
              <a:solidFill>
                <a:schemeClr val="bg1"/>
              </a:solidFill>
              <a:latin typeface="Times New Roman" panose="02020603050405020304" pitchFamily="18" charset="0"/>
              <a:ea typeface="+mn-ea"/>
              <a:cs typeface="Times New Roman" panose="02020603050405020304" pitchFamily="18" charset="0"/>
            </a:rPr>
            <a:t>Analyst</a:t>
          </a:r>
        </a:p>
      </xdr:txBody>
    </xdr:sp>
    <xdr:clientData/>
  </xdr:twoCellAnchor>
  <xdr:twoCellAnchor>
    <xdr:from>
      <xdr:col>9</xdr:col>
      <xdr:colOff>308255</xdr:colOff>
      <xdr:row>16</xdr:row>
      <xdr:rowOff>30239</xdr:rowOff>
    </xdr:from>
    <xdr:to>
      <xdr:col>11</xdr:col>
      <xdr:colOff>105832</xdr:colOff>
      <xdr:row>17</xdr:row>
      <xdr:rowOff>136071</xdr:rowOff>
    </xdr:to>
    <xdr:sp macro="" textlink="Sheet3!E16">
      <xdr:nvSpPr>
        <xdr:cNvPr id="1057" name="TextBox 1056">
          <a:extLst>
            <a:ext uri="{FF2B5EF4-FFF2-40B4-BE49-F238E27FC236}">
              <a16:creationId xmlns:a16="http://schemas.microsoft.com/office/drawing/2014/main" id="{00000000-0008-0000-0200-000021040000}"/>
            </a:ext>
          </a:extLst>
        </xdr:cNvPr>
        <xdr:cNvSpPr txBox="1"/>
      </xdr:nvSpPr>
      <xdr:spPr>
        <a:xfrm>
          <a:off x="5751112" y="3235477"/>
          <a:ext cx="1007101" cy="3023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l"/>
          <a:r>
            <a:rPr lang="en-US" sz="1050" b="1" i="0" u="none" strike="noStrike" baseline="0">
              <a:solidFill>
                <a:schemeClr val="bg1"/>
              </a:solidFill>
              <a:latin typeface="Times New Roman" panose="02020603050405020304" pitchFamily="18" charset="0"/>
              <a:ea typeface="+mn-ea"/>
              <a:cs typeface="Times New Roman" panose="02020603050405020304" pitchFamily="18" charset="0"/>
            </a:rPr>
            <a:t>Designer</a:t>
          </a:r>
        </a:p>
      </xdr:txBody>
    </xdr:sp>
    <xdr:clientData/>
  </xdr:twoCellAnchor>
  <xdr:twoCellAnchor>
    <xdr:from>
      <xdr:col>10</xdr:col>
      <xdr:colOff>489684</xdr:colOff>
      <xdr:row>16</xdr:row>
      <xdr:rowOff>15119</xdr:rowOff>
    </xdr:from>
    <xdr:to>
      <xdr:col>12</xdr:col>
      <xdr:colOff>362855</xdr:colOff>
      <xdr:row>17</xdr:row>
      <xdr:rowOff>141664</xdr:rowOff>
    </xdr:to>
    <xdr:sp macro="" textlink="Sheet3!E16">
      <xdr:nvSpPr>
        <xdr:cNvPr id="1058" name="TextBox 1057">
          <a:extLst>
            <a:ext uri="{FF2B5EF4-FFF2-40B4-BE49-F238E27FC236}">
              <a16:creationId xmlns:a16="http://schemas.microsoft.com/office/drawing/2014/main" id="{00000000-0008-0000-0200-000022040000}"/>
            </a:ext>
          </a:extLst>
        </xdr:cNvPr>
        <xdr:cNvSpPr txBox="1"/>
      </xdr:nvSpPr>
      <xdr:spPr>
        <a:xfrm>
          <a:off x="6537303" y="3220357"/>
          <a:ext cx="1082695" cy="323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l"/>
          <a:r>
            <a:rPr lang="en-US" sz="1050" b="1" i="0" u="none" strike="noStrike" baseline="0">
              <a:solidFill>
                <a:schemeClr val="bg1"/>
              </a:solidFill>
              <a:latin typeface="Times New Roman" panose="02020603050405020304" pitchFamily="18" charset="0"/>
              <a:ea typeface="+mn-ea"/>
              <a:cs typeface="Times New Roman" panose="02020603050405020304" pitchFamily="18" charset="0"/>
            </a:rPr>
            <a:t>Developer</a:t>
          </a:r>
        </a:p>
      </xdr:txBody>
    </xdr:sp>
    <xdr:clientData/>
  </xdr:twoCellAnchor>
  <xdr:twoCellAnchor>
    <xdr:from>
      <xdr:col>8</xdr:col>
      <xdr:colOff>278017</xdr:colOff>
      <xdr:row>17</xdr:row>
      <xdr:rowOff>60476</xdr:rowOff>
    </xdr:from>
    <xdr:to>
      <xdr:col>10</xdr:col>
      <xdr:colOff>377975</xdr:colOff>
      <xdr:row>18</xdr:row>
      <xdr:rowOff>181429</xdr:rowOff>
    </xdr:to>
    <xdr:sp macro="" textlink="Sheet3!E16">
      <xdr:nvSpPr>
        <xdr:cNvPr id="1060" name="TextBox 1059">
          <a:extLst>
            <a:ext uri="{FF2B5EF4-FFF2-40B4-BE49-F238E27FC236}">
              <a16:creationId xmlns:a16="http://schemas.microsoft.com/office/drawing/2014/main" id="{00000000-0008-0000-0200-000024040000}"/>
            </a:ext>
          </a:extLst>
        </xdr:cNvPr>
        <xdr:cNvSpPr txBox="1"/>
      </xdr:nvSpPr>
      <xdr:spPr>
        <a:xfrm>
          <a:off x="5116112" y="3462262"/>
          <a:ext cx="1309482" cy="317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l"/>
          <a:r>
            <a:rPr lang="en-US" sz="1050" b="1" i="0" u="none" strike="noStrike" baseline="0">
              <a:solidFill>
                <a:schemeClr val="bg1"/>
              </a:solidFill>
              <a:latin typeface="Times New Roman" panose="02020603050405020304" pitchFamily="18" charset="0"/>
              <a:ea typeface="+mn-ea"/>
              <a:cs typeface="Times New Roman" panose="02020603050405020304" pitchFamily="18" charset="0"/>
            </a:rPr>
            <a:t>HR Specialist</a:t>
          </a:r>
        </a:p>
      </xdr:txBody>
    </xdr:sp>
    <xdr:clientData/>
  </xdr:twoCellAnchor>
  <xdr:twoCellAnchor>
    <xdr:from>
      <xdr:col>10</xdr:col>
      <xdr:colOff>141947</xdr:colOff>
      <xdr:row>17</xdr:row>
      <xdr:rowOff>56169</xdr:rowOff>
    </xdr:from>
    <xdr:to>
      <xdr:col>11</xdr:col>
      <xdr:colOff>362857</xdr:colOff>
      <xdr:row>18</xdr:row>
      <xdr:rowOff>166309</xdr:rowOff>
    </xdr:to>
    <xdr:sp macro="" textlink="Sheet3!E16">
      <xdr:nvSpPr>
        <xdr:cNvPr id="1061" name="TextBox 1060">
          <a:extLst>
            <a:ext uri="{FF2B5EF4-FFF2-40B4-BE49-F238E27FC236}">
              <a16:creationId xmlns:a16="http://schemas.microsoft.com/office/drawing/2014/main" id="{00000000-0008-0000-0200-000025040000}"/>
            </a:ext>
          </a:extLst>
        </xdr:cNvPr>
        <xdr:cNvSpPr txBox="1"/>
      </xdr:nvSpPr>
      <xdr:spPr>
        <a:xfrm>
          <a:off x="6189566" y="3457955"/>
          <a:ext cx="825672" cy="3066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l"/>
          <a:r>
            <a:rPr lang="en-US" sz="1050" b="1" i="0" u="none" strike="noStrike" baseline="0">
              <a:solidFill>
                <a:schemeClr val="bg1"/>
              </a:solidFill>
              <a:latin typeface="Times New Roman" panose="02020603050405020304" pitchFamily="18" charset="0"/>
              <a:ea typeface="+mn-ea"/>
              <a:cs typeface="Times New Roman" panose="02020603050405020304" pitchFamily="18" charset="0"/>
            </a:rPr>
            <a:t>Manager</a:t>
          </a:r>
        </a:p>
      </xdr:txBody>
    </xdr:sp>
    <xdr:clientData/>
  </xdr:twoCellAnchor>
  <xdr:twoCellAnchor>
    <xdr:from>
      <xdr:col>8</xdr:col>
      <xdr:colOff>60475</xdr:colOff>
      <xdr:row>16</xdr:row>
      <xdr:rowOff>105833</xdr:rowOff>
    </xdr:from>
    <xdr:to>
      <xdr:col>8</xdr:col>
      <xdr:colOff>226786</xdr:colOff>
      <xdr:row>17</xdr:row>
      <xdr:rowOff>60475</xdr:rowOff>
    </xdr:to>
    <xdr:sp macro="" textlink="">
      <xdr:nvSpPr>
        <xdr:cNvPr id="1062" name="Hexagon 1061">
          <a:extLst>
            <a:ext uri="{FF2B5EF4-FFF2-40B4-BE49-F238E27FC236}">
              <a16:creationId xmlns:a16="http://schemas.microsoft.com/office/drawing/2014/main" id="{00000000-0008-0000-0200-000026040000}"/>
            </a:ext>
          </a:extLst>
        </xdr:cNvPr>
        <xdr:cNvSpPr/>
      </xdr:nvSpPr>
      <xdr:spPr>
        <a:xfrm>
          <a:off x="4898570" y="3311071"/>
          <a:ext cx="166311" cy="151190"/>
        </a:xfrm>
        <a:prstGeom prst="hexagon">
          <a:avLst/>
        </a:prstGeom>
        <a:solidFill>
          <a:srgbClr val="F7EE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368732</xdr:colOff>
      <xdr:row>16</xdr:row>
      <xdr:rowOff>101527</xdr:rowOff>
    </xdr:from>
    <xdr:to>
      <xdr:col>10</xdr:col>
      <xdr:colOff>535043</xdr:colOff>
      <xdr:row>17</xdr:row>
      <xdr:rowOff>56169</xdr:rowOff>
    </xdr:to>
    <xdr:sp macro="" textlink="">
      <xdr:nvSpPr>
        <xdr:cNvPr id="1063" name="Hexagon 1062">
          <a:extLst>
            <a:ext uri="{FF2B5EF4-FFF2-40B4-BE49-F238E27FC236}">
              <a16:creationId xmlns:a16="http://schemas.microsoft.com/office/drawing/2014/main" id="{00000000-0008-0000-0200-000027040000}"/>
            </a:ext>
          </a:extLst>
        </xdr:cNvPr>
        <xdr:cNvSpPr/>
      </xdr:nvSpPr>
      <xdr:spPr>
        <a:xfrm>
          <a:off x="6416351" y="3306765"/>
          <a:ext cx="166311" cy="151190"/>
        </a:xfrm>
        <a:prstGeom prst="hexagon">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172185</xdr:colOff>
      <xdr:row>17</xdr:row>
      <xdr:rowOff>118232</xdr:rowOff>
    </xdr:from>
    <xdr:to>
      <xdr:col>8</xdr:col>
      <xdr:colOff>338496</xdr:colOff>
      <xdr:row>18</xdr:row>
      <xdr:rowOff>72875</xdr:rowOff>
    </xdr:to>
    <xdr:sp macro="" textlink="">
      <xdr:nvSpPr>
        <xdr:cNvPr id="1064" name="Hexagon 1063">
          <a:extLst>
            <a:ext uri="{FF2B5EF4-FFF2-40B4-BE49-F238E27FC236}">
              <a16:creationId xmlns:a16="http://schemas.microsoft.com/office/drawing/2014/main" id="{00000000-0008-0000-0200-000028040000}"/>
            </a:ext>
          </a:extLst>
        </xdr:cNvPr>
        <xdr:cNvSpPr/>
      </xdr:nvSpPr>
      <xdr:spPr>
        <a:xfrm>
          <a:off x="5010280" y="3520018"/>
          <a:ext cx="166311" cy="151190"/>
        </a:xfrm>
        <a:prstGeom prst="hexagon">
          <a:avLst/>
        </a:prstGeom>
        <a:solidFill>
          <a:srgbClr val="E3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181786</xdr:colOff>
      <xdr:row>16</xdr:row>
      <xdr:rowOff>112635</xdr:rowOff>
    </xdr:from>
    <xdr:to>
      <xdr:col>9</xdr:col>
      <xdr:colOff>348097</xdr:colOff>
      <xdr:row>17</xdr:row>
      <xdr:rowOff>67277</xdr:rowOff>
    </xdr:to>
    <xdr:sp macro="" textlink="">
      <xdr:nvSpPr>
        <xdr:cNvPr id="1065" name="Hexagon 1064">
          <a:extLst>
            <a:ext uri="{FF2B5EF4-FFF2-40B4-BE49-F238E27FC236}">
              <a16:creationId xmlns:a16="http://schemas.microsoft.com/office/drawing/2014/main" id="{00000000-0008-0000-0200-000029040000}"/>
            </a:ext>
          </a:extLst>
        </xdr:cNvPr>
        <xdr:cNvSpPr/>
      </xdr:nvSpPr>
      <xdr:spPr>
        <a:xfrm>
          <a:off x="5624643" y="3317873"/>
          <a:ext cx="166311" cy="151190"/>
        </a:xfrm>
        <a:prstGeom prst="hexagon">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20994</xdr:colOff>
      <xdr:row>17</xdr:row>
      <xdr:rowOff>131765</xdr:rowOff>
    </xdr:from>
    <xdr:to>
      <xdr:col>10</xdr:col>
      <xdr:colOff>187305</xdr:colOff>
      <xdr:row>18</xdr:row>
      <xdr:rowOff>86408</xdr:rowOff>
    </xdr:to>
    <xdr:sp macro="" textlink="">
      <xdr:nvSpPr>
        <xdr:cNvPr id="1067" name="Hexagon 1066">
          <a:extLst>
            <a:ext uri="{FF2B5EF4-FFF2-40B4-BE49-F238E27FC236}">
              <a16:creationId xmlns:a16="http://schemas.microsoft.com/office/drawing/2014/main" id="{00000000-0008-0000-0200-00002B040000}"/>
            </a:ext>
          </a:extLst>
        </xdr:cNvPr>
        <xdr:cNvSpPr/>
      </xdr:nvSpPr>
      <xdr:spPr>
        <a:xfrm>
          <a:off x="6068613" y="3533551"/>
          <a:ext cx="166311" cy="151190"/>
        </a:xfrm>
        <a:prstGeom prst="hexagon">
          <a:avLst/>
        </a:prstGeom>
        <a:solidFill>
          <a:srgbClr val="FF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82948</xdr:colOff>
      <xdr:row>5</xdr:row>
      <xdr:rowOff>67278</xdr:rowOff>
    </xdr:from>
    <xdr:to>
      <xdr:col>11</xdr:col>
      <xdr:colOff>238302</xdr:colOff>
      <xdr:row>7</xdr:row>
      <xdr:rowOff>194580</xdr:rowOff>
    </xdr:to>
    <xdr:sp macro="" textlink="Sheet3!E16">
      <xdr:nvSpPr>
        <xdr:cNvPr id="1068" name="TextBox 1067">
          <a:extLst>
            <a:ext uri="{FF2B5EF4-FFF2-40B4-BE49-F238E27FC236}">
              <a16:creationId xmlns:a16="http://schemas.microsoft.com/office/drawing/2014/main" id="{00000000-0008-0000-0200-00002C040000}"/>
            </a:ext>
          </a:extLst>
        </xdr:cNvPr>
        <xdr:cNvSpPr txBox="1"/>
      </xdr:nvSpPr>
      <xdr:spPr>
        <a:xfrm>
          <a:off x="4921043" y="1050016"/>
          <a:ext cx="1969640" cy="5203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800" b="1" i="0" u="none" strike="noStrike" baseline="0">
              <a:solidFill>
                <a:srgbClr val="FDF449"/>
              </a:solidFill>
              <a:latin typeface="Times New Roman" panose="02020603050405020304" pitchFamily="18" charset="0"/>
              <a:cs typeface="Times New Roman" panose="02020603050405020304" pitchFamily="18" charset="0"/>
            </a:rPr>
            <a:t>Leave Tracking</a:t>
          </a:r>
          <a:endParaRPr lang="en-US" sz="1800" b="1" i="0" u="none" strike="noStrike" baseline="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30596</xdr:colOff>
      <xdr:row>7</xdr:row>
      <xdr:rowOff>37040</xdr:rowOff>
    </xdr:from>
    <xdr:to>
      <xdr:col>11</xdr:col>
      <xdr:colOff>514048</xdr:colOff>
      <xdr:row>9</xdr:row>
      <xdr:rowOff>164341</xdr:rowOff>
    </xdr:to>
    <xdr:sp macro="" textlink="Sheet3!E16">
      <xdr:nvSpPr>
        <xdr:cNvPr id="1069" name="TextBox 1068">
          <a:extLst>
            <a:ext uri="{FF2B5EF4-FFF2-40B4-BE49-F238E27FC236}">
              <a16:creationId xmlns:a16="http://schemas.microsoft.com/office/drawing/2014/main" id="{00000000-0008-0000-0200-00002D040000}"/>
            </a:ext>
          </a:extLst>
        </xdr:cNvPr>
        <xdr:cNvSpPr txBox="1"/>
      </xdr:nvSpPr>
      <xdr:spPr>
        <a:xfrm>
          <a:off x="4868691" y="1412873"/>
          <a:ext cx="2297738" cy="5203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400" b="1" i="0" u="none" strike="noStrike" baseline="0">
              <a:solidFill>
                <a:schemeClr val="bg1"/>
              </a:solidFill>
              <a:latin typeface="Times New Roman" panose="02020603050405020304" pitchFamily="18" charset="0"/>
              <a:cs typeface="Times New Roman" panose="02020603050405020304" pitchFamily="18" charset="0"/>
            </a:rPr>
            <a:t>Leave Taken By Job Title</a:t>
          </a:r>
        </a:p>
      </xdr:txBody>
    </xdr:sp>
    <xdr:clientData/>
  </xdr:twoCellAnchor>
  <xdr:twoCellAnchor>
    <xdr:from>
      <xdr:col>12</xdr:col>
      <xdr:colOff>196546</xdr:colOff>
      <xdr:row>10</xdr:row>
      <xdr:rowOff>154781</xdr:rowOff>
    </xdr:from>
    <xdr:to>
      <xdr:col>16</xdr:col>
      <xdr:colOff>408214</xdr:colOff>
      <xdr:row>17</xdr:row>
      <xdr:rowOff>47624</xdr:rowOff>
    </xdr:to>
    <xdr:graphicFrame macro="">
      <xdr:nvGraphicFramePr>
        <xdr:cNvPr id="1070" name="Chart 1069">
          <a:extLst>
            <a:ext uri="{FF2B5EF4-FFF2-40B4-BE49-F238E27FC236}">
              <a16:creationId xmlns:a16="http://schemas.microsoft.com/office/drawing/2014/main" id="{00000000-0008-0000-0200-00002E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503858</xdr:colOff>
      <xdr:row>9</xdr:row>
      <xdr:rowOff>189973</xdr:rowOff>
    </xdr:from>
    <xdr:to>
      <xdr:col>15</xdr:col>
      <xdr:colOff>49053</xdr:colOff>
      <xdr:row>10</xdr:row>
      <xdr:rowOff>184071</xdr:rowOff>
    </xdr:to>
    <xdr:sp macro="" textlink="Sheet3!E16">
      <xdr:nvSpPr>
        <xdr:cNvPr id="1071" name="TextBox 1070">
          <a:extLst>
            <a:ext uri="{FF2B5EF4-FFF2-40B4-BE49-F238E27FC236}">
              <a16:creationId xmlns:a16="http://schemas.microsoft.com/office/drawing/2014/main" id="{00000000-0008-0000-0200-00002F040000}"/>
            </a:ext>
          </a:extLst>
        </xdr:cNvPr>
        <xdr:cNvSpPr txBox="1"/>
      </xdr:nvSpPr>
      <xdr:spPr>
        <a:xfrm>
          <a:off x="7183264" y="1904473"/>
          <a:ext cx="1974070" cy="256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r>
            <a:rPr lang="en-US" sz="1200" b="1" i="0" u="none" strike="noStrike">
              <a:solidFill>
                <a:schemeClr val="bg1"/>
              </a:solidFill>
              <a:latin typeface="Times New Roman" panose="02020603050405020304" pitchFamily="18" charset="0"/>
              <a:cs typeface="Times New Roman" panose="02020603050405020304" pitchFamily="18" charset="0"/>
            </a:rPr>
            <a:t>Employee Per</a:t>
          </a:r>
          <a:r>
            <a:rPr lang="en-US" sz="1200" b="1" i="0" u="none" strike="noStrike" baseline="0">
              <a:solidFill>
                <a:schemeClr val="bg1"/>
              </a:solidFill>
              <a:latin typeface="Times New Roman" panose="02020603050405020304" pitchFamily="18" charset="0"/>
              <a:cs typeface="Times New Roman" panose="02020603050405020304" pitchFamily="18" charset="0"/>
            </a:rPr>
            <a:t> Region</a:t>
          </a:r>
          <a:endParaRPr lang="en-US" sz="1200" b="1" i="0" u="none" strike="noStrike">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310524</xdr:colOff>
      <xdr:row>8</xdr:row>
      <xdr:rowOff>132710</xdr:rowOff>
    </xdr:from>
    <xdr:to>
      <xdr:col>13</xdr:col>
      <xdr:colOff>462937</xdr:colOff>
      <xdr:row>9</xdr:row>
      <xdr:rowOff>193331</xdr:rowOff>
    </xdr:to>
    <xdr:sp macro="" textlink="Sheet3!E16">
      <xdr:nvSpPr>
        <xdr:cNvPr id="1072" name="TextBox 1071">
          <a:extLst>
            <a:ext uri="{FF2B5EF4-FFF2-40B4-BE49-F238E27FC236}">
              <a16:creationId xmlns:a16="http://schemas.microsoft.com/office/drawing/2014/main" id="{00000000-0008-0000-0200-000030040000}"/>
            </a:ext>
          </a:extLst>
        </xdr:cNvPr>
        <xdr:cNvSpPr txBox="1"/>
      </xdr:nvSpPr>
      <xdr:spPr>
        <a:xfrm>
          <a:off x="6382712" y="1656710"/>
          <a:ext cx="1974069" cy="2511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r>
            <a:rPr lang="en-US" sz="1600" b="1" i="0" u="none" strike="noStrike">
              <a:solidFill>
                <a:srgbClr val="FFFF66"/>
              </a:solidFill>
              <a:latin typeface="Times New Roman" panose="02020603050405020304" pitchFamily="18" charset="0"/>
              <a:cs typeface="Times New Roman" panose="02020603050405020304" pitchFamily="18" charset="0"/>
            </a:rPr>
            <a:t>Region</a:t>
          </a:r>
        </a:p>
      </xdr:txBody>
    </xdr:sp>
    <xdr:clientData/>
  </xdr:twoCellAnchor>
  <xdr:oneCellAnchor>
    <xdr:from>
      <xdr:col>15</xdr:col>
      <xdr:colOff>217541</xdr:colOff>
      <xdr:row>12</xdr:row>
      <xdr:rowOff>42636</xdr:rowOff>
    </xdr:from>
    <xdr:ext cx="366639" cy="311496"/>
    <xdr:sp macro="" textlink="Sheet3!U15">
      <xdr:nvSpPr>
        <xdr:cNvPr id="1073" name="TextBox 1072">
          <a:extLst>
            <a:ext uri="{FF2B5EF4-FFF2-40B4-BE49-F238E27FC236}">
              <a16:creationId xmlns:a16="http://schemas.microsoft.com/office/drawing/2014/main" id="{00000000-0008-0000-0200-000031040000}"/>
            </a:ext>
          </a:extLst>
        </xdr:cNvPr>
        <xdr:cNvSpPr txBox="1"/>
      </xdr:nvSpPr>
      <xdr:spPr>
        <a:xfrm>
          <a:off x="9309586" y="2366159"/>
          <a:ext cx="366639" cy="311496"/>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marL="0" indent="0"/>
          <a:fld id="{52BE9EE5-91D4-402A-AF07-07B417719A76}" type="TxLink">
            <a:rPr lang="en-US" sz="1400" b="1" i="0" u="none" strike="noStrike">
              <a:solidFill>
                <a:schemeClr val="bg1"/>
              </a:solidFill>
              <a:latin typeface="Aptos Narrow"/>
              <a:ea typeface="+mn-ea"/>
              <a:cs typeface="+mn-cs"/>
            </a:rPr>
            <a:pPr marL="0" indent="0"/>
            <a:t>10</a:t>
          </a:fld>
          <a:endParaRPr lang="en-US" sz="1400" b="1" i="0" u="none" strike="noStrike">
            <a:solidFill>
              <a:schemeClr val="bg1"/>
            </a:solidFill>
            <a:latin typeface="Aptos Narrow"/>
            <a:ea typeface="+mn-ea"/>
            <a:cs typeface="+mn-cs"/>
          </a:endParaRPr>
        </a:p>
      </xdr:txBody>
    </xdr:sp>
    <xdr:clientData/>
  </xdr:oneCellAnchor>
  <xdr:oneCellAnchor>
    <xdr:from>
      <xdr:col>14</xdr:col>
      <xdr:colOff>430417</xdr:colOff>
      <xdr:row>13</xdr:row>
      <xdr:rowOff>104321</xdr:rowOff>
    </xdr:from>
    <xdr:ext cx="275653" cy="311496"/>
    <xdr:sp macro="" textlink="Sheet3!U14">
      <xdr:nvSpPr>
        <xdr:cNvPr id="1074" name="TextBox 1073">
          <a:extLst>
            <a:ext uri="{FF2B5EF4-FFF2-40B4-BE49-F238E27FC236}">
              <a16:creationId xmlns:a16="http://schemas.microsoft.com/office/drawing/2014/main" id="{00000000-0008-0000-0200-000032040000}"/>
            </a:ext>
          </a:extLst>
        </xdr:cNvPr>
        <xdr:cNvSpPr txBox="1"/>
      </xdr:nvSpPr>
      <xdr:spPr>
        <a:xfrm>
          <a:off x="8916326" y="2615457"/>
          <a:ext cx="275653" cy="311496"/>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marL="0" indent="0"/>
          <a:fld id="{7EA437CA-1E8E-49E9-A567-D080F84E8F1C}" type="TxLink">
            <a:rPr lang="en-US" sz="1400" b="1" i="0" u="none" strike="noStrike">
              <a:solidFill>
                <a:schemeClr val="bg1"/>
              </a:solidFill>
              <a:latin typeface="Aptos Narrow"/>
              <a:ea typeface="+mn-ea"/>
              <a:cs typeface="+mn-cs"/>
            </a:rPr>
            <a:pPr marL="0" indent="0"/>
            <a:t>7</a:t>
          </a:fld>
          <a:endParaRPr lang="en-US" sz="1400" b="1" i="0" u="none" strike="noStrike">
            <a:solidFill>
              <a:schemeClr val="bg1"/>
            </a:solidFill>
            <a:latin typeface="Aptos Narrow"/>
            <a:ea typeface="+mn-ea"/>
            <a:cs typeface="+mn-cs"/>
          </a:endParaRPr>
        </a:p>
      </xdr:txBody>
    </xdr:sp>
    <xdr:clientData/>
  </xdr:oneCellAnchor>
  <xdr:oneCellAnchor>
    <xdr:from>
      <xdr:col>14</xdr:col>
      <xdr:colOff>8294</xdr:colOff>
      <xdr:row>2</xdr:row>
      <xdr:rowOff>105532</xdr:rowOff>
    </xdr:from>
    <xdr:ext cx="211020" cy="264560"/>
    <xdr:sp macro="" textlink="Sheet2!$S$13">
      <xdr:nvSpPr>
        <xdr:cNvPr id="1075" name="TextBox 1074">
          <a:extLst>
            <a:ext uri="{FF2B5EF4-FFF2-40B4-BE49-F238E27FC236}">
              <a16:creationId xmlns:a16="http://schemas.microsoft.com/office/drawing/2014/main" id="{00000000-0008-0000-0200-000033040000}"/>
            </a:ext>
          </a:extLst>
        </xdr:cNvPr>
        <xdr:cNvSpPr txBox="1"/>
      </xdr:nvSpPr>
      <xdr:spPr>
        <a:xfrm>
          <a:off x="8474961" y="498627"/>
          <a:ext cx="2110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4BCFF42-8599-48CC-9CE2-1FF3EC07E481}" type="TxLink">
            <a:rPr lang="en-US" sz="1100" b="0" i="0" u="none" strike="noStrike">
              <a:solidFill>
                <a:srgbClr val="000000"/>
              </a:solidFill>
              <a:latin typeface="Aptos Narrow"/>
            </a:rPr>
            <a:pPr/>
            <a:t> </a:t>
          </a:fld>
          <a:endParaRPr lang="en-US" sz="1400" b="1">
            <a:solidFill>
              <a:schemeClr val="bg1"/>
            </a:solidFill>
          </a:endParaRPr>
        </a:p>
      </xdr:txBody>
    </xdr:sp>
    <xdr:clientData/>
  </xdr:oneCellAnchor>
  <xdr:oneCellAnchor>
    <xdr:from>
      <xdr:col>15</xdr:col>
      <xdr:colOff>206051</xdr:colOff>
      <xdr:row>14</xdr:row>
      <xdr:rowOff>106741</xdr:rowOff>
    </xdr:from>
    <xdr:ext cx="366639" cy="311496"/>
    <xdr:sp macro="" textlink="Sheet3!U13">
      <xdr:nvSpPr>
        <xdr:cNvPr id="1076" name="TextBox 1075">
          <a:extLst>
            <a:ext uri="{FF2B5EF4-FFF2-40B4-BE49-F238E27FC236}">
              <a16:creationId xmlns:a16="http://schemas.microsoft.com/office/drawing/2014/main" id="{00000000-0008-0000-0200-000034040000}"/>
            </a:ext>
          </a:extLst>
        </xdr:cNvPr>
        <xdr:cNvSpPr txBox="1"/>
      </xdr:nvSpPr>
      <xdr:spPr>
        <a:xfrm>
          <a:off x="9298096" y="2805491"/>
          <a:ext cx="366639" cy="311496"/>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marL="0" indent="0"/>
          <a:fld id="{739E081A-71AA-4DF6-9F1D-A3721F270C42}" type="TxLink">
            <a:rPr lang="en-US" sz="1400" b="1" i="0" u="none" strike="noStrike">
              <a:solidFill>
                <a:schemeClr val="bg1"/>
              </a:solidFill>
              <a:latin typeface="Aptos Narrow"/>
              <a:ea typeface="+mn-ea"/>
              <a:cs typeface="+mn-cs"/>
            </a:rPr>
            <a:pPr marL="0" indent="0"/>
            <a:t>10</a:t>
          </a:fld>
          <a:endParaRPr lang="en-US" sz="1400" b="1" i="0" u="none" strike="noStrike">
            <a:solidFill>
              <a:schemeClr val="bg1"/>
            </a:solidFill>
            <a:latin typeface="Aptos Narrow"/>
            <a:ea typeface="+mn-ea"/>
            <a:cs typeface="+mn-cs"/>
          </a:endParaRPr>
        </a:p>
      </xdr:txBody>
    </xdr:sp>
    <xdr:clientData/>
  </xdr:oneCellAnchor>
  <xdr:oneCellAnchor>
    <xdr:from>
      <xdr:col>15</xdr:col>
      <xdr:colOff>96589</xdr:colOff>
      <xdr:row>11</xdr:row>
      <xdr:rowOff>12399</xdr:rowOff>
    </xdr:from>
    <xdr:ext cx="275653" cy="311496"/>
    <xdr:sp macro="" textlink="Sheet3!U16">
      <xdr:nvSpPr>
        <xdr:cNvPr id="1077" name="TextBox 1076">
          <a:extLst>
            <a:ext uri="{FF2B5EF4-FFF2-40B4-BE49-F238E27FC236}">
              <a16:creationId xmlns:a16="http://schemas.microsoft.com/office/drawing/2014/main" id="{00000000-0008-0000-0200-000035040000}"/>
            </a:ext>
          </a:extLst>
        </xdr:cNvPr>
        <xdr:cNvSpPr txBox="1"/>
      </xdr:nvSpPr>
      <xdr:spPr>
        <a:xfrm>
          <a:off x="9188634" y="2148308"/>
          <a:ext cx="27565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37168ADE-DA83-430D-BACD-74C54F3AE0FD}" type="TxLink">
            <a:rPr lang="en-US" sz="1400" b="1" i="0" u="none" strike="noStrike">
              <a:solidFill>
                <a:schemeClr val="bg1"/>
              </a:solidFill>
              <a:latin typeface="Aptos Narrow"/>
              <a:ea typeface="+mn-ea"/>
              <a:cs typeface="+mn-cs"/>
            </a:rPr>
            <a:pPr marL="0" indent="0"/>
            <a:t>9</a:t>
          </a:fld>
          <a:endParaRPr lang="en-US" sz="1400" b="1" i="0" u="none" strike="noStrike">
            <a:solidFill>
              <a:schemeClr val="bg1"/>
            </a:solidFill>
            <a:latin typeface="Aptos Narrow"/>
            <a:ea typeface="+mn-ea"/>
            <a:cs typeface="+mn-cs"/>
          </a:endParaRPr>
        </a:p>
      </xdr:txBody>
    </xdr:sp>
    <xdr:clientData/>
  </xdr:oneCellAnchor>
  <xdr:oneCellAnchor>
    <xdr:from>
      <xdr:col>16</xdr:col>
      <xdr:colOff>141948</xdr:colOff>
      <xdr:row>15</xdr:row>
      <xdr:rowOff>133352</xdr:rowOff>
    </xdr:from>
    <xdr:ext cx="366639" cy="311496"/>
    <xdr:sp macro="" textlink="Sheet3!U12">
      <xdr:nvSpPr>
        <xdr:cNvPr id="1078" name="TextBox 1077">
          <a:extLst>
            <a:ext uri="{FF2B5EF4-FFF2-40B4-BE49-F238E27FC236}">
              <a16:creationId xmlns:a16="http://schemas.microsoft.com/office/drawing/2014/main" id="{00000000-0008-0000-0200-000036040000}"/>
            </a:ext>
          </a:extLst>
        </xdr:cNvPr>
        <xdr:cNvSpPr txBox="1"/>
      </xdr:nvSpPr>
      <xdr:spPr>
        <a:xfrm>
          <a:off x="9840130" y="3019716"/>
          <a:ext cx="366639" cy="311496"/>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marL="0" indent="0"/>
          <a:fld id="{B7E3619B-15B0-4594-BC94-528743395697}" type="TxLink">
            <a:rPr lang="en-US" sz="1400" b="1" i="0" u="none" strike="noStrike">
              <a:solidFill>
                <a:schemeClr val="bg1"/>
              </a:solidFill>
              <a:latin typeface="Aptos Narrow"/>
              <a:ea typeface="+mn-ea"/>
              <a:cs typeface="+mn-cs"/>
            </a:rPr>
            <a:pPr marL="0" indent="0"/>
            <a:t>14</a:t>
          </a:fld>
          <a:endParaRPr lang="en-US" sz="1400" b="1" i="0" u="none" strike="noStrike">
            <a:solidFill>
              <a:schemeClr val="bg1"/>
            </a:solidFill>
            <a:latin typeface="Aptos Narrow"/>
            <a:ea typeface="+mn-ea"/>
            <a:cs typeface="+mn-cs"/>
          </a:endParaRPr>
        </a:p>
      </xdr:txBody>
    </xdr:sp>
    <xdr:clientData/>
  </xdr:oneCellAnchor>
  <xdr:twoCellAnchor>
    <xdr:from>
      <xdr:col>12</xdr:col>
      <xdr:colOff>347143</xdr:colOff>
      <xdr:row>5</xdr:row>
      <xdr:rowOff>151533</xdr:rowOff>
    </xdr:from>
    <xdr:to>
      <xdr:col>15</xdr:col>
      <xdr:colOff>202197</xdr:colOff>
      <xdr:row>7</xdr:row>
      <xdr:rowOff>182922</xdr:rowOff>
    </xdr:to>
    <xdr:sp macro="" textlink="">
      <xdr:nvSpPr>
        <xdr:cNvPr id="1079" name="TextBox 1078">
          <a:extLst>
            <a:ext uri="{FF2B5EF4-FFF2-40B4-BE49-F238E27FC236}">
              <a16:creationId xmlns:a16="http://schemas.microsoft.com/office/drawing/2014/main" id="{00000000-0008-0000-0200-000037040000}"/>
            </a:ext>
          </a:extLst>
        </xdr:cNvPr>
        <xdr:cNvSpPr txBox="1"/>
      </xdr:nvSpPr>
      <xdr:spPr>
        <a:xfrm>
          <a:off x="7644758" y="1104033"/>
          <a:ext cx="1679458" cy="4123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400" b="1" i="0" u="none" strike="noStrike" baseline="0">
              <a:solidFill>
                <a:schemeClr val="bg1"/>
              </a:solidFill>
              <a:latin typeface="Times New Roman" panose="02020603050405020304" pitchFamily="18" charset="0"/>
              <a:cs typeface="Times New Roman" panose="02020603050405020304" pitchFamily="18" charset="0"/>
            </a:rPr>
            <a:t>Average Rating</a:t>
          </a:r>
        </a:p>
      </xdr:txBody>
    </xdr:sp>
    <xdr:clientData/>
  </xdr:twoCellAnchor>
  <xdr:twoCellAnchor>
    <xdr:from>
      <xdr:col>12</xdr:col>
      <xdr:colOff>124558</xdr:colOff>
      <xdr:row>3</xdr:row>
      <xdr:rowOff>52755</xdr:rowOff>
    </xdr:from>
    <xdr:to>
      <xdr:col>13</xdr:col>
      <xdr:colOff>593480</xdr:colOff>
      <xdr:row>6</xdr:row>
      <xdr:rowOff>46865</xdr:rowOff>
    </xdr:to>
    <xdr:sp macro="" textlink="Sheet3!X17">
      <xdr:nvSpPr>
        <xdr:cNvPr id="1080" name="TextBox 1079">
          <a:extLst>
            <a:ext uri="{FF2B5EF4-FFF2-40B4-BE49-F238E27FC236}">
              <a16:creationId xmlns:a16="http://schemas.microsoft.com/office/drawing/2014/main" id="{00000000-0008-0000-0200-000038040000}"/>
            </a:ext>
          </a:extLst>
        </xdr:cNvPr>
        <xdr:cNvSpPr txBox="1"/>
      </xdr:nvSpPr>
      <xdr:spPr>
        <a:xfrm>
          <a:off x="7422173" y="624255"/>
          <a:ext cx="1077057" cy="565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r"/>
          <a:fld id="{DD5F43F1-98F4-452B-8C4A-456DF33891B3}" type="TxLink">
            <a:rPr lang="en-US" sz="4400" b="1" i="0" u="none" strike="noStrike">
              <a:solidFill>
                <a:schemeClr val="bg1"/>
              </a:solidFill>
              <a:latin typeface="Times New Roman" panose="02020603050405020304" pitchFamily="18" charset="0"/>
              <a:ea typeface="+mn-ea"/>
              <a:cs typeface="Times New Roman" panose="02020603050405020304" pitchFamily="18" charset="0"/>
            </a:rPr>
            <a:pPr marL="0" indent="0" algn="r"/>
            <a:t>2.6</a:t>
          </a:fld>
          <a:endParaRPr lang="en-US" sz="4400" b="1" i="0" u="none" strike="noStrike">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12</xdr:col>
      <xdr:colOff>326069</xdr:colOff>
      <xdr:row>0</xdr:row>
      <xdr:rowOff>102576</xdr:rowOff>
    </xdr:from>
    <xdr:to>
      <xdr:col>16</xdr:col>
      <xdr:colOff>36634</xdr:colOff>
      <xdr:row>1</xdr:row>
      <xdr:rowOff>190499</xdr:rowOff>
    </xdr:to>
    <xdr:sp macro="" textlink="Sheet3!E16">
      <xdr:nvSpPr>
        <xdr:cNvPr id="1081" name="TextBox 1080">
          <a:extLst>
            <a:ext uri="{FF2B5EF4-FFF2-40B4-BE49-F238E27FC236}">
              <a16:creationId xmlns:a16="http://schemas.microsoft.com/office/drawing/2014/main" id="{00000000-0008-0000-0200-000039040000}"/>
            </a:ext>
          </a:extLst>
        </xdr:cNvPr>
        <xdr:cNvSpPr txBox="1"/>
      </xdr:nvSpPr>
      <xdr:spPr>
        <a:xfrm>
          <a:off x="7623684" y="102576"/>
          <a:ext cx="2143104" cy="27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800" b="1" i="0" u="none" strike="noStrike" baseline="0">
              <a:solidFill>
                <a:srgbClr val="FFFF66"/>
              </a:solidFill>
              <a:latin typeface="Times New Roman" panose="02020603050405020304" pitchFamily="18" charset="0"/>
              <a:cs typeface="Times New Roman" panose="02020603050405020304" pitchFamily="18" charset="0"/>
            </a:rPr>
            <a:t>Performance Rating</a:t>
          </a:r>
        </a:p>
      </xdr:txBody>
    </xdr:sp>
    <xdr:clientData/>
  </xdr:twoCellAnchor>
  <xdr:twoCellAnchor>
    <xdr:from>
      <xdr:col>12</xdr:col>
      <xdr:colOff>361640</xdr:colOff>
      <xdr:row>2</xdr:row>
      <xdr:rowOff>6397</xdr:rowOff>
    </xdr:from>
    <xdr:to>
      <xdr:col>15</xdr:col>
      <xdr:colOff>461597</xdr:colOff>
      <xdr:row>3</xdr:row>
      <xdr:rowOff>94319</xdr:rowOff>
    </xdr:to>
    <xdr:sp macro="" textlink="Sheet3!E16">
      <xdr:nvSpPr>
        <xdr:cNvPr id="1082" name="TextBox 1081">
          <a:extLst>
            <a:ext uri="{FF2B5EF4-FFF2-40B4-BE49-F238E27FC236}">
              <a16:creationId xmlns:a16="http://schemas.microsoft.com/office/drawing/2014/main" id="{00000000-0008-0000-0200-00003A040000}"/>
            </a:ext>
          </a:extLst>
        </xdr:cNvPr>
        <xdr:cNvSpPr txBox="1"/>
      </xdr:nvSpPr>
      <xdr:spPr>
        <a:xfrm>
          <a:off x="7659255" y="387397"/>
          <a:ext cx="1924361" cy="2784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400" b="1" i="0" u="none" strike="noStrike" baseline="0">
              <a:solidFill>
                <a:schemeClr val="bg1"/>
              </a:solidFill>
              <a:latin typeface="Times New Roman" panose="02020603050405020304" pitchFamily="18" charset="0"/>
              <a:cs typeface="Times New Roman" panose="02020603050405020304" pitchFamily="18" charset="0"/>
            </a:rPr>
            <a:t>Employee Per Region</a:t>
          </a:r>
        </a:p>
      </xdr:txBody>
    </xdr:sp>
    <xdr:clientData/>
  </xdr:twoCellAnchor>
  <xdr:twoCellAnchor>
    <xdr:from>
      <xdr:col>0</xdr:col>
      <xdr:colOff>362156</xdr:colOff>
      <xdr:row>0</xdr:row>
      <xdr:rowOff>110703</xdr:rowOff>
    </xdr:from>
    <xdr:to>
      <xdr:col>4</xdr:col>
      <xdr:colOff>75230</xdr:colOff>
      <xdr:row>4</xdr:row>
      <xdr:rowOff>153998</xdr:rowOff>
    </xdr:to>
    <xdr:sp macro="" textlink="Sheet3!E16">
      <xdr:nvSpPr>
        <xdr:cNvPr id="1083" name="TextBox 1082">
          <a:extLst>
            <a:ext uri="{FF2B5EF4-FFF2-40B4-BE49-F238E27FC236}">
              <a16:creationId xmlns:a16="http://schemas.microsoft.com/office/drawing/2014/main" id="{00000000-0008-0000-0200-00003B040000}"/>
            </a:ext>
          </a:extLst>
        </xdr:cNvPr>
        <xdr:cNvSpPr txBox="1"/>
      </xdr:nvSpPr>
      <xdr:spPr>
        <a:xfrm>
          <a:off x="362156" y="110703"/>
          <a:ext cx="2144989" cy="8134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2400" b="1" i="0" u="none" strike="noStrike" baseline="0">
              <a:solidFill>
                <a:srgbClr val="FDF449"/>
              </a:solidFill>
              <a:latin typeface="Times New Roman" panose="02020603050405020304" pitchFamily="18" charset="0"/>
              <a:cs typeface="Times New Roman" panose="02020603050405020304" pitchFamily="18" charset="0"/>
            </a:rPr>
            <a:t>HR </a:t>
          </a:r>
        </a:p>
        <a:p>
          <a:pPr algn="l"/>
          <a:r>
            <a:rPr lang="en-US" sz="2400" b="1" i="0" u="none" strike="noStrike" baseline="0">
              <a:solidFill>
                <a:srgbClr val="FDF449"/>
              </a:solidFill>
              <a:latin typeface="Times New Roman" panose="02020603050405020304" pitchFamily="18" charset="0"/>
              <a:cs typeface="Times New Roman" panose="02020603050405020304" pitchFamily="18" charset="0"/>
            </a:rPr>
            <a:t>Dashboard</a:t>
          </a:r>
          <a:endParaRPr lang="en-US" sz="2400" b="1" i="0" u="none" strike="noStrike" baseline="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334380</xdr:colOff>
      <xdr:row>4</xdr:row>
      <xdr:rowOff>134410</xdr:rowOff>
    </xdr:from>
    <xdr:to>
      <xdr:col>3</xdr:col>
      <xdr:colOff>464345</xdr:colOff>
      <xdr:row>7</xdr:row>
      <xdr:rowOff>119063</xdr:rowOff>
    </xdr:to>
    <xdr:sp macro="" textlink="Sheet3!E16">
      <xdr:nvSpPr>
        <xdr:cNvPr id="1084" name="TextBox 1083">
          <a:extLst>
            <a:ext uri="{FF2B5EF4-FFF2-40B4-BE49-F238E27FC236}">
              <a16:creationId xmlns:a16="http://schemas.microsoft.com/office/drawing/2014/main" id="{00000000-0008-0000-0200-00003C040000}"/>
            </a:ext>
          </a:extLst>
        </xdr:cNvPr>
        <xdr:cNvSpPr txBox="1"/>
      </xdr:nvSpPr>
      <xdr:spPr>
        <a:xfrm>
          <a:off x="334380" y="896410"/>
          <a:ext cx="1951621" cy="5561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400" b="1" i="0" u="none" strike="noStrike" baseline="0">
              <a:solidFill>
                <a:schemeClr val="bg1"/>
              </a:solidFill>
              <a:latin typeface="Times New Roman" panose="02020603050405020304" pitchFamily="18" charset="0"/>
              <a:cs typeface="Times New Roman" panose="02020603050405020304" pitchFamily="18" charset="0"/>
            </a:rPr>
            <a:t>Analyze And Monitor </a:t>
          </a:r>
        </a:p>
        <a:p>
          <a:pPr algn="l"/>
          <a:r>
            <a:rPr lang="en-US" sz="1400" b="1" i="0" u="none" strike="noStrike" baseline="0">
              <a:solidFill>
                <a:schemeClr val="bg1"/>
              </a:solidFill>
              <a:latin typeface="Times New Roman" panose="02020603050405020304" pitchFamily="18" charset="0"/>
              <a:cs typeface="Times New Roman" panose="02020603050405020304" pitchFamily="18" charset="0"/>
            </a:rPr>
            <a:t>The HR Dashboard</a:t>
          </a:r>
        </a:p>
      </xdr:txBody>
    </xdr:sp>
    <xdr:clientData/>
  </xdr:twoCellAnchor>
  <xdr:twoCellAnchor>
    <xdr:from>
      <xdr:col>0</xdr:col>
      <xdr:colOff>404091</xdr:colOff>
      <xdr:row>9</xdr:row>
      <xdr:rowOff>158751</xdr:rowOff>
    </xdr:from>
    <xdr:to>
      <xdr:col>0</xdr:col>
      <xdr:colOff>407117</xdr:colOff>
      <xdr:row>11</xdr:row>
      <xdr:rowOff>149788</xdr:rowOff>
    </xdr:to>
    <xdr:cxnSp macro="">
      <xdr:nvCxnSpPr>
        <xdr:cNvPr id="1086" name="Straight Arrow Connector 1085">
          <a:extLst>
            <a:ext uri="{FF2B5EF4-FFF2-40B4-BE49-F238E27FC236}">
              <a16:creationId xmlns:a16="http://schemas.microsoft.com/office/drawing/2014/main" id="{00000000-0008-0000-0200-00003E040000}"/>
            </a:ext>
          </a:extLst>
        </xdr:cNvPr>
        <xdr:cNvCxnSpPr/>
      </xdr:nvCxnSpPr>
      <xdr:spPr>
        <a:xfrm>
          <a:off x="404091" y="1887078"/>
          <a:ext cx="3026" cy="440402"/>
        </a:xfrm>
        <a:prstGeom prst="straightConnector1">
          <a:avLst/>
        </a:prstGeom>
        <a:ln>
          <a:solidFill>
            <a:schemeClr val="bg1">
              <a:lumMod val="95000"/>
            </a:schemeClr>
          </a:solidFill>
          <a:headEnd type="triangle"/>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editAs="oneCell">
    <xdr:from>
      <xdr:col>3</xdr:col>
      <xdr:colOff>464516</xdr:colOff>
      <xdr:row>0</xdr:row>
      <xdr:rowOff>95954</xdr:rowOff>
    </xdr:from>
    <xdr:to>
      <xdr:col>7</xdr:col>
      <xdr:colOff>359440</xdr:colOff>
      <xdr:row>5</xdr:row>
      <xdr:rowOff>95249</xdr:rowOff>
    </xdr:to>
    <mc:AlternateContent xmlns:mc="http://schemas.openxmlformats.org/markup-compatibility/2006">
      <mc:Choice xmlns:a14="http://schemas.microsoft.com/office/drawing/2010/main" Requires="a14">
        <xdr:graphicFrame macro="">
          <xdr:nvGraphicFramePr>
            <xdr:cNvPr id="1095" name="Gender">
              <a:extLst>
                <a:ext uri="{FF2B5EF4-FFF2-40B4-BE49-F238E27FC236}">
                  <a16:creationId xmlns:a16="http://schemas.microsoft.com/office/drawing/2014/main" id="{00000000-0008-0000-0200-00004704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293316" y="95954"/>
              <a:ext cx="2333324" cy="9517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489120</xdr:colOff>
      <xdr:row>0</xdr:row>
      <xdr:rowOff>84049</xdr:rowOff>
    </xdr:from>
    <xdr:to>
      <xdr:col>12</xdr:col>
      <xdr:colOff>124814</xdr:colOff>
      <xdr:row>5</xdr:row>
      <xdr:rowOff>98480</xdr:rowOff>
    </xdr:to>
    <mc:AlternateContent xmlns:mc="http://schemas.openxmlformats.org/markup-compatibility/2006">
      <mc:Choice xmlns:a14="http://schemas.microsoft.com/office/drawing/2010/main" Requires="a14">
        <xdr:graphicFrame macro="">
          <xdr:nvGraphicFramePr>
            <xdr:cNvPr id="1096" name="Department">
              <a:extLst>
                <a:ext uri="{FF2B5EF4-FFF2-40B4-BE49-F238E27FC236}">
                  <a16:creationId xmlns:a16="http://schemas.microsoft.com/office/drawing/2014/main" id="{00000000-0008-0000-0200-00004804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756320" y="84049"/>
              <a:ext cx="2683694" cy="9669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314554</xdr:colOff>
      <xdr:row>5</xdr:row>
      <xdr:rowOff>47625</xdr:rowOff>
    </xdr:from>
    <xdr:to>
      <xdr:col>0</xdr:col>
      <xdr:colOff>318780</xdr:colOff>
      <xdr:row>7</xdr:row>
      <xdr:rowOff>42248</xdr:rowOff>
    </xdr:to>
    <xdr:cxnSp macro="">
      <xdr:nvCxnSpPr>
        <xdr:cNvPr id="58" name="Straight Arrow Connector 57">
          <a:extLst>
            <a:ext uri="{FF2B5EF4-FFF2-40B4-BE49-F238E27FC236}">
              <a16:creationId xmlns:a16="http://schemas.microsoft.com/office/drawing/2014/main" id="{F441FC30-1392-5830-9641-73588B0BC35D}"/>
            </a:ext>
          </a:extLst>
        </xdr:cNvPr>
        <xdr:cNvCxnSpPr/>
      </xdr:nvCxnSpPr>
      <xdr:spPr>
        <a:xfrm>
          <a:off x="314554" y="1007806"/>
          <a:ext cx="4226" cy="378696"/>
        </a:xfrm>
        <a:prstGeom prst="straightConnector1">
          <a:avLst/>
        </a:prstGeom>
        <a:ln>
          <a:solidFill>
            <a:srgbClr val="FFFF00"/>
          </a:solidFill>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298678</xdr:colOff>
      <xdr:row>1</xdr:row>
      <xdr:rowOff>59001</xdr:rowOff>
    </xdr:from>
    <xdr:to>
      <xdr:col>0</xdr:col>
      <xdr:colOff>395840</xdr:colOff>
      <xdr:row>4</xdr:row>
      <xdr:rowOff>43637</xdr:rowOff>
    </xdr:to>
    <xdr:sp macro="" textlink="">
      <xdr:nvSpPr>
        <xdr:cNvPr id="1034" name="Arrow: Up-Down 1033">
          <a:extLst>
            <a:ext uri="{FF2B5EF4-FFF2-40B4-BE49-F238E27FC236}">
              <a16:creationId xmlns:a16="http://schemas.microsoft.com/office/drawing/2014/main" id="{A50BDD0A-1448-BFD2-024E-6D0C2610CEA5}"/>
            </a:ext>
          </a:extLst>
        </xdr:cNvPr>
        <xdr:cNvSpPr/>
      </xdr:nvSpPr>
      <xdr:spPr>
        <a:xfrm>
          <a:off x="298678" y="251528"/>
          <a:ext cx="97162" cy="562215"/>
        </a:xfrm>
        <a:prstGeom prst="upDownArrow">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141228</xdr:colOff>
      <xdr:row>6</xdr:row>
      <xdr:rowOff>134152</xdr:rowOff>
    </xdr:from>
    <xdr:to>
      <xdr:col>7</xdr:col>
      <xdr:colOff>277299</xdr:colOff>
      <xdr:row>7</xdr:row>
      <xdr:rowOff>64091</xdr:rowOff>
    </xdr:to>
    <xdr:sp macro="" textlink="">
      <xdr:nvSpPr>
        <xdr:cNvPr id="1035" name="Oval 1034">
          <a:extLst>
            <a:ext uri="{FF2B5EF4-FFF2-40B4-BE49-F238E27FC236}">
              <a16:creationId xmlns:a16="http://schemas.microsoft.com/office/drawing/2014/main" id="{4FE2FA82-0F80-4835-B73F-7D8F65739F3E}"/>
            </a:ext>
          </a:extLst>
        </xdr:cNvPr>
        <xdr:cNvSpPr/>
      </xdr:nvSpPr>
      <xdr:spPr>
        <a:xfrm flipH="1">
          <a:off x="4397079" y="1289312"/>
          <a:ext cx="136071" cy="122465"/>
        </a:xfrm>
        <a:prstGeom prst="ellipse">
          <a:avLst/>
        </a:prstGeom>
        <a:solidFill>
          <a:srgbClr val="FDF4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FF00"/>
            </a:solidFill>
          </a:endParaRPr>
        </a:p>
      </xdr:txBody>
    </xdr:sp>
    <xdr:clientData/>
  </xdr:twoCellAnchor>
  <xdr:twoCellAnchor>
    <xdr:from>
      <xdr:col>11</xdr:col>
      <xdr:colOff>50540</xdr:colOff>
      <xdr:row>6</xdr:row>
      <xdr:rowOff>102179</xdr:rowOff>
    </xdr:from>
    <xdr:to>
      <xdr:col>11</xdr:col>
      <xdr:colOff>186611</xdr:colOff>
      <xdr:row>7</xdr:row>
      <xdr:rowOff>32118</xdr:rowOff>
    </xdr:to>
    <xdr:sp macro="" textlink="">
      <xdr:nvSpPr>
        <xdr:cNvPr id="1036" name="Oval 1035">
          <a:extLst>
            <a:ext uri="{FF2B5EF4-FFF2-40B4-BE49-F238E27FC236}">
              <a16:creationId xmlns:a16="http://schemas.microsoft.com/office/drawing/2014/main" id="{6CF120AC-5B8A-4F1C-9ADF-C3EB83CE9C45}"/>
            </a:ext>
          </a:extLst>
        </xdr:cNvPr>
        <xdr:cNvSpPr/>
      </xdr:nvSpPr>
      <xdr:spPr>
        <a:xfrm flipH="1">
          <a:off x="6738306" y="1257339"/>
          <a:ext cx="136071" cy="122465"/>
        </a:xfrm>
        <a:prstGeom prst="ellipse">
          <a:avLst/>
        </a:prstGeom>
        <a:solidFill>
          <a:srgbClr val="FDF4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FF00"/>
            </a:solidFill>
          </a:endParaRPr>
        </a:p>
      </xdr:txBody>
    </xdr:sp>
    <xdr:clientData/>
  </xdr:twoCellAnchor>
  <xdr:twoCellAnchor>
    <xdr:from>
      <xdr:col>13</xdr:col>
      <xdr:colOff>521692</xdr:colOff>
      <xdr:row>9</xdr:row>
      <xdr:rowOff>16466</xdr:rowOff>
    </xdr:from>
    <xdr:to>
      <xdr:col>14</xdr:col>
      <xdr:colOff>49784</xdr:colOff>
      <xdr:row>9</xdr:row>
      <xdr:rowOff>138931</xdr:rowOff>
    </xdr:to>
    <xdr:sp macro="" textlink="">
      <xdr:nvSpPr>
        <xdr:cNvPr id="1037" name="Oval 1036">
          <a:extLst>
            <a:ext uri="{FF2B5EF4-FFF2-40B4-BE49-F238E27FC236}">
              <a16:creationId xmlns:a16="http://schemas.microsoft.com/office/drawing/2014/main" id="{94A6AB3E-5423-4FF5-92C5-18DB70B1AB40}"/>
            </a:ext>
          </a:extLst>
        </xdr:cNvPr>
        <xdr:cNvSpPr/>
      </xdr:nvSpPr>
      <xdr:spPr>
        <a:xfrm flipH="1">
          <a:off x="8425415" y="1749205"/>
          <a:ext cx="136071" cy="122465"/>
        </a:xfrm>
        <a:prstGeom prst="ellipse">
          <a:avLst/>
        </a:prstGeom>
        <a:solidFill>
          <a:srgbClr val="FDF4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FF00"/>
            </a:solidFill>
          </a:endParaRPr>
        </a:p>
      </xdr:txBody>
    </xdr:sp>
    <xdr:clientData/>
  </xdr:twoCellAnchor>
  <xdr:twoCellAnchor>
    <xdr:from>
      <xdr:col>9</xdr:col>
      <xdr:colOff>433744</xdr:colOff>
      <xdr:row>20</xdr:row>
      <xdr:rowOff>25153</xdr:rowOff>
    </xdr:from>
    <xdr:to>
      <xdr:col>9</xdr:col>
      <xdr:colOff>569815</xdr:colOff>
      <xdr:row>20</xdr:row>
      <xdr:rowOff>147618</xdr:rowOff>
    </xdr:to>
    <xdr:sp macro="" textlink="">
      <xdr:nvSpPr>
        <xdr:cNvPr id="1053" name="Oval 1052">
          <a:extLst>
            <a:ext uri="{FF2B5EF4-FFF2-40B4-BE49-F238E27FC236}">
              <a16:creationId xmlns:a16="http://schemas.microsoft.com/office/drawing/2014/main" id="{C97F471C-CD49-4188-A706-9DBA079B7BD5}"/>
            </a:ext>
          </a:extLst>
        </xdr:cNvPr>
        <xdr:cNvSpPr/>
      </xdr:nvSpPr>
      <xdr:spPr>
        <a:xfrm flipH="1">
          <a:off x="5905553" y="3936483"/>
          <a:ext cx="136071" cy="122465"/>
        </a:xfrm>
        <a:prstGeom prst="ellipse">
          <a:avLst/>
        </a:prstGeom>
        <a:solidFill>
          <a:srgbClr val="FDF4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FF00"/>
            </a:solidFill>
          </a:endParaRPr>
        </a:p>
      </xdr:txBody>
    </xdr:sp>
    <xdr:clientData/>
  </xdr:twoCellAnchor>
  <xdr:twoCellAnchor>
    <xdr:from>
      <xdr:col>5</xdr:col>
      <xdr:colOff>395186</xdr:colOff>
      <xdr:row>20</xdr:row>
      <xdr:rowOff>91196</xdr:rowOff>
    </xdr:from>
    <xdr:to>
      <xdr:col>5</xdr:col>
      <xdr:colOff>531257</xdr:colOff>
      <xdr:row>21</xdr:row>
      <xdr:rowOff>21135</xdr:rowOff>
    </xdr:to>
    <xdr:sp macro="" textlink="">
      <xdr:nvSpPr>
        <xdr:cNvPr id="1055" name="Oval 1054">
          <a:extLst>
            <a:ext uri="{FF2B5EF4-FFF2-40B4-BE49-F238E27FC236}">
              <a16:creationId xmlns:a16="http://schemas.microsoft.com/office/drawing/2014/main" id="{B3FAC2D2-21C4-4C92-9EEE-C97517179179}"/>
            </a:ext>
          </a:extLst>
        </xdr:cNvPr>
        <xdr:cNvSpPr/>
      </xdr:nvSpPr>
      <xdr:spPr>
        <a:xfrm flipH="1">
          <a:off x="3435080" y="4002526"/>
          <a:ext cx="136071" cy="122465"/>
        </a:xfrm>
        <a:prstGeom prst="ellipse">
          <a:avLst/>
        </a:prstGeom>
        <a:solidFill>
          <a:srgbClr val="FDF4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FF00"/>
            </a:solidFill>
          </a:endParaRPr>
        </a:p>
      </xdr:txBody>
    </xdr:sp>
    <xdr:clientData/>
  </xdr:twoCellAnchor>
  <xdr:twoCellAnchor>
    <xdr:from>
      <xdr:col>2</xdr:col>
      <xdr:colOff>557314</xdr:colOff>
      <xdr:row>23</xdr:row>
      <xdr:rowOff>91196</xdr:rowOff>
    </xdr:from>
    <xdr:to>
      <xdr:col>3</xdr:col>
      <xdr:colOff>85406</xdr:colOff>
      <xdr:row>24</xdr:row>
      <xdr:rowOff>21135</xdr:rowOff>
    </xdr:to>
    <xdr:sp macro="" textlink="">
      <xdr:nvSpPr>
        <xdr:cNvPr id="1059" name="Oval 1058">
          <a:extLst>
            <a:ext uri="{FF2B5EF4-FFF2-40B4-BE49-F238E27FC236}">
              <a16:creationId xmlns:a16="http://schemas.microsoft.com/office/drawing/2014/main" id="{DA06F712-53A2-4F4F-924B-DC33B36849EB}"/>
            </a:ext>
          </a:extLst>
        </xdr:cNvPr>
        <xdr:cNvSpPr/>
      </xdr:nvSpPr>
      <xdr:spPr>
        <a:xfrm flipH="1">
          <a:off x="1773271" y="4580106"/>
          <a:ext cx="136071" cy="122465"/>
        </a:xfrm>
        <a:prstGeom prst="ellipse">
          <a:avLst/>
        </a:prstGeom>
        <a:solidFill>
          <a:srgbClr val="FDF4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FF00"/>
            </a:solidFill>
          </a:endParaRPr>
        </a:p>
      </xdr:txBody>
    </xdr:sp>
    <xdr:clientData/>
  </xdr:twoCellAnchor>
  <xdr:twoCellAnchor>
    <xdr:from>
      <xdr:col>16</xdr:col>
      <xdr:colOff>30725</xdr:colOff>
      <xdr:row>1</xdr:row>
      <xdr:rowOff>30726</xdr:rowOff>
    </xdr:from>
    <xdr:to>
      <xdr:col>16</xdr:col>
      <xdr:colOff>166796</xdr:colOff>
      <xdr:row>1</xdr:row>
      <xdr:rowOff>153191</xdr:rowOff>
    </xdr:to>
    <xdr:sp macro="" textlink="">
      <xdr:nvSpPr>
        <xdr:cNvPr id="1066" name="Oval 1065">
          <a:extLst>
            <a:ext uri="{FF2B5EF4-FFF2-40B4-BE49-F238E27FC236}">
              <a16:creationId xmlns:a16="http://schemas.microsoft.com/office/drawing/2014/main" id="{B80B60A4-89E5-4ACC-8C81-3414600C5869}"/>
            </a:ext>
          </a:extLst>
        </xdr:cNvPr>
        <xdr:cNvSpPr/>
      </xdr:nvSpPr>
      <xdr:spPr>
        <a:xfrm flipH="1">
          <a:off x="9862983" y="215081"/>
          <a:ext cx="136071" cy="122465"/>
        </a:xfrm>
        <a:prstGeom prst="ellipse">
          <a:avLst/>
        </a:prstGeom>
        <a:solidFill>
          <a:srgbClr val="FDF4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FF00"/>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0.20557</cdr:x>
      <cdr:y>0.09612</cdr:y>
    </cdr:from>
    <cdr:to>
      <cdr:x>0.41869</cdr:x>
      <cdr:y>0.2715</cdr:y>
    </cdr:to>
    <cdr:sp macro="" textlink="Sheet3!$F$12">
      <cdr:nvSpPr>
        <cdr:cNvPr id="2" name="TextBox 1049">
          <a:extLst xmlns:a="http://schemas.openxmlformats.org/drawingml/2006/main">
            <a:ext uri="{FF2B5EF4-FFF2-40B4-BE49-F238E27FC236}">
              <a16:creationId xmlns:a16="http://schemas.microsoft.com/office/drawing/2014/main" id="{629AFE20-71F6-5FB8-D7A9-B8AE60E6C800}"/>
            </a:ext>
          </a:extLst>
        </cdr:cNvPr>
        <cdr:cNvSpPr txBox="1"/>
      </cdr:nvSpPr>
      <cdr:spPr>
        <a:xfrm xmlns:a="http://schemas.openxmlformats.org/drawingml/2006/main">
          <a:off x="504006" y="170722"/>
          <a:ext cx="522515" cy="31149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fld id="{C0A29F00-94A8-472D-BA41-F3B67119982A}" type="TxLink">
            <a:rPr lang="en-US" sz="1400" b="1" i="0" u="none" strike="noStrike">
              <a:solidFill>
                <a:schemeClr val="bg1"/>
              </a:solidFill>
              <a:latin typeface="Aptos Narrow"/>
            </a:rPr>
            <a:pPr/>
            <a:t> 110 </a:t>
          </a:fld>
          <a:endParaRPr lang="en-US" sz="1400" b="1" i="0" u="none" strike="noStrike">
            <a:solidFill>
              <a:schemeClr val="bg1"/>
            </a:solidFill>
            <a:latin typeface="Aptos Narrow"/>
          </a:endParaRPr>
        </a:p>
      </cdr:txBody>
    </cdr:sp>
  </cdr:relSizeAnchor>
  <cdr:relSizeAnchor xmlns:cdr="http://schemas.openxmlformats.org/drawingml/2006/chartDrawing">
    <cdr:from>
      <cdr:x>0.38344</cdr:x>
      <cdr:y>0.12489</cdr:y>
    </cdr:from>
    <cdr:to>
      <cdr:x>0.59656</cdr:x>
      <cdr:y>0.30027</cdr:y>
    </cdr:to>
    <cdr:sp macro="" textlink="Sheet3!$F$13">
      <cdr:nvSpPr>
        <cdr:cNvPr id="3" name="TextBox 1049">
          <a:extLst xmlns:a="http://schemas.openxmlformats.org/drawingml/2006/main">
            <a:ext uri="{FF2B5EF4-FFF2-40B4-BE49-F238E27FC236}">
              <a16:creationId xmlns:a16="http://schemas.microsoft.com/office/drawing/2014/main" id="{629AFE20-71F6-5FB8-D7A9-B8AE60E6C800}"/>
            </a:ext>
          </a:extLst>
        </cdr:cNvPr>
        <cdr:cNvSpPr txBox="1"/>
      </cdr:nvSpPr>
      <cdr:spPr>
        <a:xfrm xmlns:a="http://schemas.openxmlformats.org/drawingml/2006/main">
          <a:off x="940098" y="221822"/>
          <a:ext cx="522515" cy="31149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fld id="{8FB9A03A-0F0A-4BC6-885E-DDA8C7F04429}" type="TxLink">
            <a:rPr lang="en-US" sz="1400" b="1" i="0" u="none" strike="noStrike">
              <a:solidFill>
                <a:schemeClr val="bg1"/>
              </a:solidFill>
              <a:latin typeface="Aptos Narrow"/>
            </a:rPr>
            <a:pPr/>
            <a:t> 104 </a:t>
          </a:fld>
          <a:endParaRPr lang="en-US" sz="1400" b="1" i="0" u="none" strike="noStrike">
            <a:solidFill>
              <a:schemeClr val="bg1"/>
            </a:solidFill>
            <a:latin typeface="Aptos Narrow"/>
          </a:endParaRPr>
        </a:p>
      </cdr:txBody>
    </cdr:sp>
  </cdr:relSizeAnchor>
  <cdr:relSizeAnchor xmlns:cdr="http://schemas.openxmlformats.org/drawingml/2006/chartDrawing">
    <cdr:from>
      <cdr:x>0.56131</cdr:x>
      <cdr:y>0.03856</cdr:y>
    </cdr:from>
    <cdr:to>
      <cdr:x>0.77443</cdr:x>
      <cdr:y>0.21394</cdr:y>
    </cdr:to>
    <cdr:sp macro="" textlink="Sheet3!$F$14">
      <cdr:nvSpPr>
        <cdr:cNvPr id="4" name="TextBox 1049">
          <a:extLst xmlns:a="http://schemas.openxmlformats.org/drawingml/2006/main">
            <a:ext uri="{FF2B5EF4-FFF2-40B4-BE49-F238E27FC236}">
              <a16:creationId xmlns:a16="http://schemas.microsoft.com/office/drawing/2014/main" id="{629AFE20-71F6-5FB8-D7A9-B8AE60E6C800}"/>
            </a:ext>
          </a:extLst>
        </cdr:cNvPr>
        <cdr:cNvSpPr txBox="1"/>
      </cdr:nvSpPr>
      <cdr:spPr>
        <a:xfrm xmlns:a="http://schemas.openxmlformats.org/drawingml/2006/main">
          <a:off x="1376190" y="68488"/>
          <a:ext cx="522515" cy="31149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fld id="{D2150475-A755-4B95-8F62-98148C1BA061}" type="TxLink">
            <a:rPr lang="en-US" sz="1400" b="1" i="0" u="none" strike="noStrike">
              <a:solidFill>
                <a:schemeClr val="bg1"/>
              </a:solidFill>
              <a:latin typeface="Aptos Narrow"/>
            </a:rPr>
            <a:pPr/>
            <a:t> 123 </a:t>
          </a:fld>
          <a:endParaRPr lang="en-US" sz="1400" b="1">
            <a:solidFill>
              <a:schemeClr val="bg1"/>
            </a:solidFill>
          </a:endParaRPr>
        </a:p>
      </cdr:txBody>
    </cdr:sp>
  </cdr:relSizeAnchor>
  <cdr:relSizeAnchor xmlns:cdr="http://schemas.openxmlformats.org/drawingml/2006/chartDrawing">
    <cdr:from>
      <cdr:x>0.73919</cdr:x>
      <cdr:y>0.04316</cdr:y>
    </cdr:from>
    <cdr:to>
      <cdr:x>0.96824</cdr:x>
      <cdr:y>0.21858</cdr:y>
    </cdr:to>
    <cdr:sp macro="" textlink="Sheet3!$F$15">
      <cdr:nvSpPr>
        <cdr:cNvPr id="5" name="TextBox 1049">
          <a:extLst xmlns:a="http://schemas.openxmlformats.org/drawingml/2006/main">
            <a:ext uri="{FF2B5EF4-FFF2-40B4-BE49-F238E27FC236}">
              <a16:creationId xmlns:a16="http://schemas.microsoft.com/office/drawing/2014/main" id="{629AFE20-71F6-5FB8-D7A9-B8AE60E6C800}"/>
            </a:ext>
          </a:extLst>
        </cdr:cNvPr>
        <cdr:cNvSpPr txBox="1"/>
      </cdr:nvSpPr>
      <cdr:spPr>
        <a:xfrm xmlns:a="http://schemas.openxmlformats.org/drawingml/2006/main">
          <a:off x="1803367" y="76652"/>
          <a:ext cx="558804" cy="31149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fld id="{8D23DB1C-5EBA-4E81-ACCF-C8BDBC99CB7A}" type="TxLink">
            <a:rPr lang="en-US" sz="1400" b="1" i="0" u="none" strike="noStrike">
              <a:solidFill>
                <a:schemeClr val="bg1"/>
              </a:solidFill>
              <a:latin typeface="Aptos Narrow"/>
            </a:rPr>
            <a:pPr/>
            <a:t> 122 </a:t>
          </a:fld>
          <a:endParaRPr lang="en-US" sz="1400" b="1">
            <a:solidFill>
              <a:schemeClr val="bg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97.562438425928" createdVersion="8" refreshedVersion="8" minRefreshableVersion="3" recordCount="50" xr:uid="{D02A739E-0B14-4E77-B1C4-5A05745DF31C}">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12665792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s v="Lori Nguyen"/>
    <x v="0"/>
    <n v="25"/>
    <x v="0"/>
    <x v="0"/>
    <x v="0"/>
    <x v="0"/>
    <s v="Luis Reynolds"/>
    <s v="2019-03-15"/>
    <x v="0"/>
    <x v="0"/>
    <n v="53700"/>
    <s v="C"/>
    <n v="1463"/>
    <s v="Health"/>
    <n v="1"/>
    <n v="1"/>
    <s v="Leadership Training"/>
    <x v="0"/>
    <s v="Certified Professional"/>
  </r>
  <r>
    <n v="9116"/>
    <s v="Gary Garcia"/>
    <x v="1"/>
    <n v="27"/>
    <x v="1"/>
    <x v="1"/>
    <x v="1"/>
    <x v="1"/>
    <s v="Ashley Simmons MD"/>
    <s v="2022-12-20"/>
    <x v="0"/>
    <x v="1"/>
    <n v="91091"/>
    <s v="B"/>
    <n v="1024"/>
    <s v="None"/>
    <n v="19"/>
    <n v="4"/>
    <s v="Excel Workshop"/>
    <x v="0"/>
    <s v="Certified Professional"/>
  </r>
  <r>
    <n v="5120"/>
    <s v="Jeremy Nguyen"/>
    <x v="1"/>
    <n v="34"/>
    <x v="1"/>
    <x v="2"/>
    <x v="2"/>
    <x v="2"/>
    <s v="Cassandra Duncan"/>
    <s v="2022-08-10"/>
    <x v="0"/>
    <x v="2"/>
    <n v="57538"/>
    <s v="D"/>
    <n v="1674"/>
    <s v="None"/>
    <n v="8"/>
    <n v="1"/>
    <s v="None"/>
    <x v="1"/>
    <s v="Advanced Training"/>
  </r>
  <r>
    <n v="8071"/>
    <s v="Kimberly Jones"/>
    <x v="0"/>
    <n v="41"/>
    <x v="2"/>
    <x v="2"/>
    <x v="0"/>
    <x v="3"/>
    <s v="Janet Harris"/>
    <s v="2024-09-03"/>
    <x v="1"/>
    <x v="0"/>
    <n v="62993"/>
    <s v="A"/>
    <n v="2695"/>
    <s v="Health + Dental"/>
    <n v="0"/>
    <n v="2"/>
    <s v="None"/>
    <x v="2"/>
    <s v="None"/>
  </r>
  <r>
    <n v="9351"/>
    <s v="Anthony Gates"/>
    <x v="1"/>
    <n v="56"/>
    <x v="3"/>
    <x v="0"/>
    <x v="0"/>
    <x v="2"/>
    <s v="Mr. Frank Clay"/>
    <s v="2019-03-14"/>
    <x v="1"/>
    <x v="1"/>
    <n v="45773"/>
    <s v="A"/>
    <n v="8776"/>
    <s v="Health"/>
    <n v="16"/>
    <n v="4"/>
    <s v="Leadership Training"/>
    <x v="2"/>
    <s v="None"/>
  </r>
  <r>
    <n v="2873"/>
    <s v="Courtney Foster"/>
    <x v="0"/>
    <n v="28"/>
    <x v="1"/>
    <x v="2"/>
    <x v="3"/>
    <x v="2"/>
    <s v="Dorothy Price"/>
    <s v="2017-01-23"/>
    <x v="0"/>
    <x v="1"/>
    <n v="96249"/>
    <s v="C"/>
    <n v="4826"/>
    <s v="Health + Dental"/>
    <n v="7"/>
    <n v="3"/>
    <s v="Leadership Training"/>
    <x v="3"/>
    <s v="Certified Professional"/>
  </r>
  <r>
    <n v="3540"/>
    <s v="Catherine Hall"/>
    <x v="0"/>
    <n v="20"/>
    <x v="0"/>
    <x v="1"/>
    <x v="2"/>
    <x v="2"/>
    <s v="Michele Sexton"/>
    <s v="2024-08-17"/>
    <x v="0"/>
    <x v="2"/>
    <n v="61596"/>
    <s v="C"/>
    <n v="8818"/>
    <s v="Health + Dental"/>
    <n v="4"/>
    <n v="2"/>
    <s v="Leadership Training"/>
    <x v="1"/>
    <s v="None"/>
  </r>
  <r>
    <n v="3653"/>
    <s v="Deanna Ball"/>
    <x v="0"/>
    <n v="58"/>
    <x v="3"/>
    <x v="3"/>
    <x v="1"/>
    <x v="4"/>
    <s v="Richard Schmidt"/>
    <s v="2014-12-09"/>
    <x v="0"/>
    <x v="2"/>
    <n v="97869"/>
    <s v="A"/>
    <n v="1966"/>
    <s v="Health"/>
    <n v="10"/>
    <n v="1"/>
    <s v="Leadership Training"/>
    <x v="0"/>
    <s v="Certified Professional"/>
  </r>
  <r>
    <n v="5587"/>
    <s v="Candace Nelson"/>
    <x v="0"/>
    <n v="44"/>
    <x v="2"/>
    <x v="3"/>
    <x v="2"/>
    <x v="2"/>
    <s v="Teresa Pearson"/>
    <s v="2021-06-28"/>
    <x v="0"/>
    <x v="0"/>
    <n v="81235"/>
    <s v="A"/>
    <n v="6553"/>
    <s v="None"/>
    <n v="16"/>
    <n v="2"/>
    <s v="None"/>
    <x v="1"/>
    <s v="Certified Professional"/>
  </r>
  <r>
    <n v="9554"/>
    <s v="Mandy Davis"/>
    <x v="0"/>
    <n v="29"/>
    <x v="1"/>
    <x v="1"/>
    <x v="2"/>
    <x v="3"/>
    <s v="Laura Hart"/>
    <s v="2018-05-20"/>
    <x v="0"/>
    <x v="1"/>
    <n v="87852"/>
    <s v="A"/>
    <n v="4980"/>
    <s v="Health + Dental"/>
    <n v="19"/>
    <n v="3"/>
    <s v="None"/>
    <x v="2"/>
    <s v="Certified Professional"/>
  </r>
  <r>
    <n v="6213"/>
    <s v="Matthew Powell"/>
    <x v="1"/>
    <n v="23"/>
    <x v="0"/>
    <x v="3"/>
    <x v="0"/>
    <x v="2"/>
    <s v="Andrea May"/>
    <s v="2017-02-13"/>
    <x v="1"/>
    <x v="1"/>
    <n v="59359"/>
    <s v="A"/>
    <n v="9449"/>
    <s v="Health + Dental"/>
    <n v="20"/>
    <n v="3"/>
    <s v="None"/>
    <x v="1"/>
    <s v="None"/>
  </r>
  <r>
    <n v="9105"/>
    <s v="Bruce Nelson"/>
    <x v="1"/>
    <n v="30"/>
    <x v="1"/>
    <x v="0"/>
    <x v="1"/>
    <x v="0"/>
    <s v="Casey Martin"/>
    <s v="2024-05-05"/>
    <x v="1"/>
    <x v="2"/>
    <n v="81225"/>
    <s v="D"/>
    <n v="6202"/>
    <s v="Health + Dental"/>
    <n v="2"/>
    <n v="2"/>
    <s v="Excel Workshop"/>
    <x v="4"/>
    <s v="Certified Professional"/>
  </r>
  <r>
    <n v="9508"/>
    <s v="Dawn Cole"/>
    <x v="0"/>
    <n v="49"/>
    <x v="4"/>
    <x v="1"/>
    <x v="0"/>
    <x v="0"/>
    <s v="Amber Allen"/>
    <s v="2022-04-19"/>
    <x v="1"/>
    <x v="0"/>
    <n v="32788"/>
    <s v="D"/>
    <n v="4396"/>
    <s v="Health"/>
    <n v="13"/>
    <n v="5"/>
    <s v="None"/>
    <x v="3"/>
    <s v="Advanced Training"/>
  </r>
  <r>
    <n v="2436"/>
    <s v="Tanner Morse"/>
    <x v="1"/>
    <n v="60"/>
    <x v="3"/>
    <x v="4"/>
    <x v="0"/>
    <x v="3"/>
    <s v="Adam Johnson"/>
    <s v="2015-11-16"/>
    <x v="1"/>
    <x v="2"/>
    <n v="70452"/>
    <s v="D"/>
    <n v="9911"/>
    <s v="None"/>
    <n v="2"/>
    <n v="1"/>
    <s v="None"/>
    <x v="3"/>
    <s v="Certified Professional"/>
  </r>
  <r>
    <n v="4441"/>
    <s v="Jose Griffin"/>
    <x v="1"/>
    <n v="46"/>
    <x v="4"/>
    <x v="1"/>
    <x v="3"/>
    <x v="0"/>
    <s v="Nicole Dominguez"/>
    <s v="2023-09-09"/>
    <x v="0"/>
    <x v="1"/>
    <n v="33045"/>
    <s v="B"/>
    <n v="1456"/>
    <s v="None"/>
    <n v="16"/>
    <n v="3"/>
    <s v="Excel Workshop"/>
    <x v="3"/>
    <s v="None"/>
  </r>
  <r>
    <n v="5827"/>
    <s v="Daniel Hawkins"/>
    <x v="1"/>
    <n v="57"/>
    <x v="3"/>
    <x v="2"/>
    <x v="3"/>
    <x v="1"/>
    <s v="Andrew Best"/>
    <s v="2017-12-12"/>
    <x v="2"/>
    <x v="2"/>
    <n v="96429"/>
    <s v="C"/>
    <n v="4740"/>
    <s v="None"/>
    <n v="8"/>
    <n v="1"/>
    <s v="Excel Workshop"/>
    <x v="2"/>
    <s v="None"/>
  </r>
  <r>
    <n v="5184"/>
    <s v="Elaine Mcclain"/>
    <x v="0"/>
    <n v="24"/>
    <x v="0"/>
    <x v="1"/>
    <x v="2"/>
    <x v="2"/>
    <s v="Gabrielle Rodriguez"/>
    <s v="2017-03-10"/>
    <x v="2"/>
    <x v="2"/>
    <n v="33183"/>
    <s v="A"/>
    <n v="8114"/>
    <s v="None"/>
    <n v="4"/>
    <n v="2"/>
    <s v="Excel Workshop"/>
    <x v="4"/>
    <s v="Advanced Training"/>
  </r>
  <r>
    <n v="5874"/>
    <s v="Kimberly Jones"/>
    <x v="0"/>
    <n v="35"/>
    <x v="1"/>
    <x v="4"/>
    <x v="3"/>
    <x v="0"/>
    <s v="Allison Harvey"/>
    <s v="2019-03-04"/>
    <x v="2"/>
    <x v="0"/>
    <n v="75065"/>
    <s v="C"/>
    <n v="7123"/>
    <s v="None"/>
    <n v="20"/>
    <n v="2"/>
    <s v="None"/>
    <x v="0"/>
    <s v="Advanced Training"/>
  </r>
  <r>
    <n v="9834"/>
    <s v="Thomas Kramer"/>
    <x v="1"/>
    <n v="41"/>
    <x v="2"/>
    <x v="1"/>
    <x v="1"/>
    <x v="4"/>
    <s v="Tristan Mejia"/>
    <s v="2022-11-20"/>
    <x v="0"/>
    <x v="2"/>
    <n v="32877"/>
    <s v="C"/>
    <n v="6432"/>
    <s v="Health"/>
    <n v="11"/>
    <n v="1"/>
    <s v="None"/>
    <x v="0"/>
    <s v="None"/>
  </r>
  <r>
    <n v="5096"/>
    <s v="Kevin Whitaker"/>
    <x v="1"/>
    <n v="36"/>
    <x v="2"/>
    <x v="1"/>
    <x v="4"/>
    <x v="3"/>
    <s v="Mary Welch"/>
    <s v="2021-03-02"/>
    <x v="0"/>
    <x v="1"/>
    <n v="46811"/>
    <s v="D"/>
    <n v="1567"/>
    <s v="None"/>
    <n v="7"/>
    <n v="3"/>
    <s v="Excel Workshop"/>
    <x v="0"/>
    <s v="Advanced Training"/>
  </r>
  <r>
    <n v="2263"/>
    <s v="Dustin Carter"/>
    <x v="1"/>
    <n v="31"/>
    <x v="1"/>
    <x v="3"/>
    <x v="2"/>
    <x v="1"/>
    <s v="Douglas Miles"/>
    <s v="2021-08-01"/>
    <x v="1"/>
    <x v="1"/>
    <n v="87538"/>
    <s v="C"/>
    <n v="3588"/>
    <s v="Health + Dental"/>
    <n v="11"/>
    <n v="5"/>
    <s v="Excel Workshop"/>
    <x v="2"/>
    <s v="None"/>
  </r>
  <r>
    <n v="6505"/>
    <s v="Nicole Williamson"/>
    <x v="0"/>
    <n v="28"/>
    <x v="1"/>
    <x v="0"/>
    <x v="1"/>
    <x v="4"/>
    <s v="Jessica Fleming"/>
    <s v="2015-08-14"/>
    <x v="0"/>
    <x v="1"/>
    <n v="73002"/>
    <s v="C"/>
    <n v="6296"/>
    <s v="Health"/>
    <n v="2"/>
    <n v="5"/>
    <s v="Excel Workshop"/>
    <x v="1"/>
    <s v="Certified Professional"/>
  </r>
  <r>
    <n v="8626"/>
    <s v="Matthew Knight"/>
    <x v="1"/>
    <n v="37"/>
    <x v="2"/>
    <x v="3"/>
    <x v="1"/>
    <x v="3"/>
    <s v="Christine Lee"/>
    <s v="2015-10-21"/>
    <x v="2"/>
    <x v="2"/>
    <n v="41653"/>
    <s v="D"/>
    <n v="9236"/>
    <s v="None"/>
    <n v="13"/>
    <n v="1"/>
    <s v="Excel Workshop"/>
    <x v="0"/>
    <s v="None"/>
  </r>
  <r>
    <n v="5979"/>
    <s v="Donna Jones"/>
    <x v="0"/>
    <n v="31"/>
    <x v="1"/>
    <x v="0"/>
    <x v="0"/>
    <x v="2"/>
    <s v="Mario Smith DVM"/>
    <s v="2015-03-14"/>
    <x v="1"/>
    <x v="1"/>
    <n v="67582"/>
    <s v="A"/>
    <n v="1375"/>
    <s v="Health"/>
    <n v="20"/>
    <n v="3"/>
    <s v="Excel Workshop"/>
    <x v="1"/>
    <s v="None"/>
  </r>
  <r>
    <n v="3104"/>
    <s v="Carolyn Bullock"/>
    <x v="0"/>
    <n v="23"/>
    <x v="0"/>
    <x v="3"/>
    <x v="1"/>
    <x v="1"/>
    <s v="Joseph Francis"/>
    <s v="2024-05-22"/>
    <x v="2"/>
    <x v="1"/>
    <n v="37351"/>
    <s v="D"/>
    <n v="7858"/>
    <s v="Health + Dental"/>
    <n v="18"/>
    <n v="2"/>
    <s v="Leadership Training"/>
    <x v="1"/>
    <s v="Advanced Training"/>
  </r>
  <r>
    <n v="8967"/>
    <s v="Wendy Gomez"/>
    <x v="0"/>
    <n v="48"/>
    <x v="4"/>
    <x v="4"/>
    <x v="2"/>
    <x v="0"/>
    <s v="Sarah Young"/>
    <s v="2017-03-19"/>
    <x v="0"/>
    <x v="1"/>
    <n v="36721"/>
    <s v="B"/>
    <n v="8820"/>
    <s v="Health + Dental"/>
    <n v="0"/>
    <n v="2"/>
    <s v="Excel Workshop"/>
    <x v="1"/>
    <s v="Certified Professional"/>
  </r>
  <r>
    <n v="5087"/>
    <s v="Michael Thomas"/>
    <x v="1"/>
    <n v="28"/>
    <x v="1"/>
    <x v="2"/>
    <x v="4"/>
    <x v="0"/>
    <s v="Aaron Hart"/>
    <s v="2021-09-15"/>
    <x v="1"/>
    <x v="2"/>
    <n v="46326"/>
    <s v="B"/>
    <n v="9189"/>
    <s v="Health + Dental"/>
    <n v="8"/>
    <n v="4"/>
    <s v="Leadership Training"/>
    <x v="3"/>
    <s v="Advanced Training"/>
  </r>
  <r>
    <n v="3358"/>
    <s v="Kevin Bell"/>
    <x v="1"/>
    <n v="30"/>
    <x v="1"/>
    <x v="1"/>
    <x v="3"/>
    <x v="1"/>
    <s v="Brian Boyd"/>
    <s v="2022-05-09"/>
    <x v="0"/>
    <x v="0"/>
    <n v="59007"/>
    <s v="C"/>
    <n v="3380"/>
    <s v="Health"/>
    <n v="17"/>
    <n v="3"/>
    <s v="None"/>
    <x v="4"/>
    <s v="Certified Professional"/>
  </r>
  <r>
    <n v="8256"/>
    <s v="Richard Landry"/>
    <x v="1"/>
    <n v="46"/>
    <x v="4"/>
    <x v="3"/>
    <x v="0"/>
    <x v="3"/>
    <s v="Steven Krueger"/>
    <s v="2017-06-22"/>
    <x v="0"/>
    <x v="1"/>
    <n v="52020"/>
    <s v="B"/>
    <n v="9585"/>
    <s v="Health + Dental"/>
    <n v="0"/>
    <n v="4"/>
    <s v="Excel Workshop"/>
    <x v="4"/>
    <s v="None"/>
  </r>
  <r>
    <n v="5763"/>
    <s v="George Hurley"/>
    <x v="1"/>
    <n v="44"/>
    <x v="2"/>
    <x v="1"/>
    <x v="2"/>
    <x v="1"/>
    <s v="Debra Williams"/>
    <s v="2020-11-28"/>
    <x v="2"/>
    <x v="1"/>
    <n v="98961"/>
    <s v="D"/>
    <n v="2688"/>
    <s v="Health"/>
    <n v="2"/>
    <n v="5"/>
    <s v="Excel Workshop"/>
    <x v="4"/>
    <s v="Certified Professional"/>
  </r>
  <r>
    <n v="6838"/>
    <s v="Mark Lopez"/>
    <x v="1"/>
    <n v="45"/>
    <x v="2"/>
    <x v="2"/>
    <x v="3"/>
    <x v="2"/>
    <s v="Karen Mitchell"/>
    <s v="2015-08-30"/>
    <x v="2"/>
    <x v="1"/>
    <n v="81943"/>
    <s v="C"/>
    <n v="2255"/>
    <s v="Health"/>
    <n v="18"/>
    <n v="2"/>
    <s v="None"/>
    <x v="2"/>
    <s v="Certified Professional"/>
  </r>
  <r>
    <n v="9544"/>
    <s v="Robert Williams"/>
    <x v="1"/>
    <n v="52"/>
    <x v="4"/>
    <x v="4"/>
    <x v="2"/>
    <x v="1"/>
    <s v="Joseph Sanders"/>
    <s v="2018-10-27"/>
    <x v="2"/>
    <x v="1"/>
    <n v="47627"/>
    <s v="C"/>
    <n v="1221"/>
    <s v="None"/>
    <n v="4"/>
    <n v="3"/>
    <s v="None"/>
    <x v="1"/>
    <s v="None"/>
  </r>
  <r>
    <n v="8012"/>
    <s v="Mary Schmidt"/>
    <x v="0"/>
    <n v="52"/>
    <x v="4"/>
    <x v="0"/>
    <x v="0"/>
    <x v="4"/>
    <s v="Shelly George"/>
    <s v="2018-08-26"/>
    <x v="2"/>
    <x v="1"/>
    <n v="56162"/>
    <s v="D"/>
    <n v="6560"/>
    <s v="Health + Dental"/>
    <n v="9"/>
    <n v="4"/>
    <s v="Excel Workshop"/>
    <x v="3"/>
    <s v="None"/>
  </r>
  <r>
    <n v="9374"/>
    <s v="Mary Martinez"/>
    <x v="0"/>
    <n v="42"/>
    <x v="2"/>
    <x v="1"/>
    <x v="2"/>
    <x v="2"/>
    <s v="Nicole Houston"/>
    <s v="2023-07-24"/>
    <x v="1"/>
    <x v="2"/>
    <n v="95734"/>
    <s v="C"/>
    <n v="4854"/>
    <s v="Health"/>
    <n v="13"/>
    <n v="2"/>
    <s v="Leadership Training"/>
    <x v="0"/>
    <s v="Certified Professional"/>
  </r>
  <r>
    <n v="3487"/>
    <s v="Paul Hall"/>
    <x v="1"/>
    <n v="58"/>
    <x v="3"/>
    <x v="1"/>
    <x v="1"/>
    <x v="3"/>
    <s v="Kristin Shaffer"/>
    <s v="2018-07-09"/>
    <x v="1"/>
    <x v="2"/>
    <n v="74789"/>
    <s v="C"/>
    <n v="8101"/>
    <s v="Health + Dental"/>
    <n v="14"/>
    <n v="5"/>
    <s v="Excel Workshop"/>
    <x v="2"/>
    <s v="None"/>
  </r>
  <r>
    <n v="8445"/>
    <s v="Samantha Foster"/>
    <x v="0"/>
    <n v="24"/>
    <x v="0"/>
    <x v="4"/>
    <x v="0"/>
    <x v="3"/>
    <s v="Joel Aguilar"/>
    <s v="2016-12-21"/>
    <x v="0"/>
    <x v="2"/>
    <n v="30137"/>
    <s v="B"/>
    <n v="4031"/>
    <s v="None"/>
    <n v="5"/>
    <n v="3"/>
    <s v="None"/>
    <x v="1"/>
    <s v="Certified Professional"/>
  </r>
  <r>
    <n v="1550"/>
    <s v="Timothy Aguilar"/>
    <x v="1"/>
    <n v="21"/>
    <x v="0"/>
    <x v="1"/>
    <x v="0"/>
    <x v="0"/>
    <s v="Michael Wade"/>
    <s v="2019-06-27"/>
    <x v="0"/>
    <x v="2"/>
    <n v="95510"/>
    <s v="C"/>
    <n v="6811"/>
    <s v="Health"/>
    <n v="18"/>
    <n v="4"/>
    <s v="Excel Workshop"/>
    <x v="4"/>
    <s v="Certified Professional"/>
  </r>
  <r>
    <n v="9968"/>
    <s v="Charles Andrews"/>
    <x v="1"/>
    <n v="58"/>
    <x v="3"/>
    <x v="1"/>
    <x v="3"/>
    <x v="0"/>
    <s v="Jessica Walsh"/>
    <s v="2021-08-27"/>
    <x v="1"/>
    <x v="0"/>
    <n v="80325"/>
    <s v="B"/>
    <n v="6230"/>
    <s v="Health"/>
    <n v="5"/>
    <n v="4"/>
    <s v="None"/>
    <x v="2"/>
    <s v="Advanced Training"/>
  </r>
  <r>
    <n v="8029"/>
    <s v="Veronica Nelson"/>
    <x v="0"/>
    <n v="57"/>
    <x v="3"/>
    <x v="3"/>
    <x v="4"/>
    <x v="4"/>
    <s v="Kelly Mack"/>
    <s v="2017-05-28"/>
    <x v="2"/>
    <x v="1"/>
    <n v="34109"/>
    <s v="B"/>
    <n v="9232"/>
    <s v="Health"/>
    <n v="13"/>
    <n v="3"/>
    <s v="Leadership Training"/>
    <x v="0"/>
    <s v="Certified Professional"/>
  </r>
  <r>
    <n v="8847"/>
    <s v="Chris Sanchez"/>
    <x v="1"/>
    <n v="41"/>
    <x v="2"/>
    <x v="3"/>
    <x v="3"/>
    <x v="0"/>
    <s v="John Conley"/>
    <s v="2022-01-30"/>
    <x v="2"/>
    <x v="2"/>
    <n v="73330"/>
    <s v="C"/>
    <n v="2276"/>
    <s v="Health + Dental"/>
    <n v="5"/>
    <n v="1"/>
    <s v="None"/>
    <x v="1"/>
    <s v="Advanced Training"/>
  </r>
  <r>
    <n v="1955"/>
    <s v="Cassie Galvan"/>
    <x v="0"/>
    <n v="58"/>
    <x v="3"/>
    <x v="2"/>
    <x v="2"/>
    <x v="1"/>
    <s v="Aaron Baker"/>
    <s v="2017-04-20"/>
    <x v="1"/>
    <x v="2"/>
    <n v="46567"/>
    <s v="A"/>
    <n v="2825"/>
    <s v="Health"/>
    <n v="15"/>
    <n v="3"/>
    <s v="None"/>
    <x v="4"/>
    <s v="Advanced Training"/>
  </r>
  <r>
    <n v="4522"/>
    <s v="Jessica Jones"/>
    <x v="0"/>
    <n v="36"/>
    <x v="2"/>
    <x v="0"/>
    <x v="4"/>
    <x v="0"/>
    <s v="Christopher Bass"/>
    <s v="2019-07-22"/>
    <x v="1"/>
    <x v="1"/>
    <n v="39795"/>
    <s v="A"/>
    <n v="1670"/>
    <s v="None"/>
    <n v="0"/>
    <n v="2"/>
    <s v="Excel Workshop"/>
    <x v="3"/>
    <s v="None"/>
  </r>
  <r>
    <n v="3078"/>
    <s v="Emily Walker"/>
    <x v="0"/>
    <n v="21"/>
    <x v="0"/>
    <x v="0"/>
    <x v="0"/>
    <x v="4"/>
    <s v="Sean Tucker PhD"/>
    <s v="2018-11-29"/>
    <x v="1"/>
    <x v="2"/>
    <n v="59506"/>
    <s v="A"/>
    <n v="4428"/>
    <s v="Health + Dental"/>
    <n v="0"/>
    <n v="1"/>
    <s v="None"/>
    <x v="3"/>
    <s v="Certified Professional"/>
  </r>
  <r>
    <n v="6357"/>
    <s v="Vickie Lewis"/>
    <x v="0"/>
    <n v="46"/>
    <x v="4"/>
    <x v="2"/>
    <x v="1"/>
    <x v="4"/>
    <s v="Jacob Scott"/>
    <s v="2022-11-14"/>
    <x v="1"/>
    <x v="2"/>
    <n v="49058"/>
    <s v="B"/>
    <n v="4396"/>
    <s v="None"/>
    <n v="5"/>
    <n v="1"/>
    <s v="None"/>
    <x v="3"/>
    <s v="None"/>
  </r>
  <r>
    <n v="7951"/>
    <s v="Alexis Clark"/>
    <x v="0"/>
    <n v="36"/>
    <x v="2"/>
    <x v="3"/>
    <x v="2"/>
    <x v="4"/>
    <s v="Joel Park"/>
    <s v="2016-02-23"/>
    <x v="1"/>
    <x v="0"/>
    <n v="98612"/>
    <s v="A"/>
    <n v="1168"/>
    <s v="None"/>
    <n v="9"/>
    <n v="2"/>
    <s v="Excel Workshop"/>
    <x v="0"/>
    <s v="Certified Professional"/>
  </r>
  <r>
    <n v="9228"/>
    <s v="Robert Davis"/>
    <x v="1"/>
    <n v="41"/>
    <x v="2"/>
    <x v="4"/>
    <x v="3"/>
    <x v="1"/>
    <s v="Russell Marshall"/>
    <s v="2018-05-18"/>
    <x v="2"/>
    <x v="1"/>
    <n v="38201"/>
    <s v="A"/>
    <n v="7111"/>
    <s v="Health"/>
    <n v="8"/>
    <n v="4"/>
    <s v="Leadership Training"/>
    <x v="3"/>
    <s v="None"/>
  </r>
  <r>
    <n v="8988"/>
    <s v="Daniel Brown MD"/>
    <x v="1"/>
    <n v="25"/>
    <x v="0"/>
    <x v="0"/>
    <x v="2"/>
    <x v="2"/>
    <s v="James Holden"/>
    <s v="2024-03-09"/>
    <x v="2"/>
    <x v="1"/>
    <n v="92919"/>
    <s v="D"/>
    <n v="9497"/>
    <s v="Health"/>
    <n v="7"/>
    <n v="2"/>
    <s v="None"/>
    <x v="3"/>
    <s v="Advanced Training"/>
  </r>
  <r>
    <n v="1952"/>
    <s v="Anna Payne"/>
    <x v="0"/>
    <n v="29"/>
    <x v="1"/>
    <x v="4"/>
    <x v="0"/>
    <x v="1"/>
    <s v="Thomas Murphy"/>
    <s v="2024-03-27"/>
    <x v="0"/>
    <x v="2"/>
    <n v="45188"/>
    <s v="A"/>
    <n v="9591"/>
    <s v="Health + Dental"/>
    <n v="18"/>
    <n v="3"/>
    <s v="Leadership Training"/>
    <x v="3"/>
    <s v="None"/>
  </r>
  <r>
    <n v="5760"/>
    <s v="Rhonda Pena"/>
    <x v="0"/>
    <n v="59"/>
    <x v="3"/>
    <x v="2"/>
    <x v="1"/>
    <x v="0"/>
    <s v="Mark Abbott"/>
    <s v="2019-12-23"/>
    <x v="0"/>
    <x v="1"/>
    <n v="34927"/>
    <s v="D"/>
    <n v="6996"/>
    <s v="Health + Dental"/>
    <n v="16"/>
    <n v="1"/>
    <s v="Excel Workshop"/>
    <x v="0"/>
    <s v="Certified Professional"/>
  </r>
  <r>
    <n v="5742"/>
    <s v="Nicole Gonzalez"/>
    <x v="0"/>
    <n v="27"/>
    <x v="1"/>
    <x v="0"/>
    <x v="2"/>
    <x v="3"/>
    <s v="Robin Lynch"/>
    <s v="2016-08-25"/>
    <x v="0"/>
    <x v="1"/>
    <n v="33183"/>
    <s v="A"/>
    <n v="1659"/>
    <s v="None"/>
    <n v="11"/>
    <n v="1"/>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2EBEDB-2CFC-4F23-94B7-4524416B91ED}" name="Skill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R9"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9C2807-2A46-436B-A227-75E3B5482EFC}" name="Age Range To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J10" firstHeaderRow="1" firstDataRow="2" firstDataCol="1"/>
  <pivotFields count="21">
    <pivotField showAll="0"/>
    <pivotField dataField="1" showAll="0"/>
    <pivotField axis="axisCol" showAll="0">
      <items count="3">
        <item x="0"/>
        <item x="1"/>
        <item t="default"/>
      </items>
    </pivotField>
    <pivotField showAll="0"/>
    <pivotField axis="axisRow" showAll="0">
      <items count="6">
        <item x="0"/>
        <item x="1"/>
        <item x="2"/>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formats count="10">
    <format dxfId="135">
      <pivotArea type="all" dataOnly="0" outline="0" fieldPosition="0"/>
    </format>
    <format dxfId="136">
      <pivotArea outline="0" collapsedLevelsAreSubtotals="1" fieldPosition="0"/>
    </format>
    <format dxfId="137">
      <pivotArea type="origin" dataOnly="0" labelOnly="1" outline="0" fieldPosition="0"/>
    </format>
    <format dxfId="138">
      <pivotArea field="2" type="button" dataOnly="0" labelOnly="1" outline="0" axis="axisCol" fieldPosition="0"/>
    </format>
    <format dxfId="139">
      <pivotArea type="topRight" dataOnly="0" labelOnly="1" outline="0" fieldPosition="0"/>
    </format>
    <format dxfId="140">
      <pivotArea field="4" type="button" dataOnly="0" labelOnly="1" outline="0" axis="axisRow" fieldPosition="0"/>
    </format>
    <format dxfId="141">
      <pivotArea dataOnly="0" labelOnly="1" fieldPosition="0">
        <references count="1">
          <reference field="4" count="0"/>
        </references>
      </pivotArea>
    </format>
    <format dxfId="142">
      <pivotArea dataOnly="0" labelOnly="1" grandRow="1" outline="0" fieldPosition="0"/>
    </format>
    <format dxfId="143">
      <pivotArea dataOnly="0" labelOnly="1" fieldPosition="0">
        <references count="1">
          <reference field="2" count="0"/>
        </references>
      </pivotArea>
    </format>
    <format dxfId="144">
      <pivotArea dataOnly="0" labelOnly="1" grandCol="1" outline="0" fieldPosition="0"/>
    </format>
  </format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56E843-577E-4AE5-BAF8-025F8413C209}" name="Salar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F9" firstHeaderRow="0" firstDataRow="1" firstDataCol="1"/>
  <pivotFields count="21">
    <pivotField showAll="0"/>
    <pivotField showAll="0"/>
    <pivotField showAll="0"/>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items count="4">
        <item x="1"/>
        <item x="0"/>
        <item x="2"/>
        <item t="default"/>
      </items>
    </pivotField>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formats count="1">
    <format dxfId="115">
      <pivotArea collapsedLevelsAreSubtotals="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4A7075-15FB-4319-948F-1AF3BA0FA71C}" name="Empolyee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1">
    <pivotField showAll="0"/>
    <pivotField dataField="1" showAll="0"/>
    <pivotField showAll="0"/>
    <pivotField showAll="0"/>
    <pivotField showAll="0"/>
    <pivotField showAll="0"/>
    <pivotField showAll="0"/>
    <pivotField showAll="0">
      <items count="6">
        <item x="0"/>
        <item x="1"/>
        <item x="4"/>
        <item x="2"/>
        <item x="3"/>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72BB16-CA18-471D-A304-AA938A495349}"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3:X9" firstHeaderRow="1" firstDataRow="1" firstDataCol="1"/>
  <pivotFields count="21">
    <pivotField showAll="0"/>
    <pivotField showAll="0"/>
    <pivotField showAll="0">
      <items count="3">
        <item x="0"/>
        <item x="1"/>
        <item t="default"/>
      </items>
    </pivotField>
    <pivotField showAll="0"/>
    <pivotField showAll="0"/>
    <pivotField showAll="0"/>
    <pivotField showAll="0"/>
    <pivotField axis="axisRow"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6">
    <i>
      <x/>
    </i>
    <i>
      <x v="1"/>
    </i>
    <i>
      <x v="2"/>
    </i>
    <i>
      <x v="3"/>
    </i>
    <i>
      <x v="4"/>
    </i>
    <i t="grand">
      <x/>
    </i>
  </rowItems>
  <colItems count="1">
    <i/>
  </colItems>
  <dataFields count="1">
    <dataField name="Average of Performance Rating" fld="17" subtotal="average" baseField="7" baseItem="0"/>
  </dataFields>
  <formats count="1">
    <format dxfId="134">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7C34D6-1985-48E1-9354-28D3D693C5DE}" name="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T3:U9" firstHeaderRow="1" firstDataRow="1" firstDataCol="1"/>
  <pivotFields count="21">
    <pivotField showAll="0"/>
    <pivotField dataField="1" showAll="0"/>
    <pivotField showAll="0">
      <items count="3">
        <item x="0"/>
        <item x="1"/>
        <item t="default"/>
      </items>
    </pivotField>
    <pivotField showAll="0"/>
    <pivotField showAll="0"/>
    <pivotField axis="axisRow" showAll="0">
      <items count="6">
        <item x="1"/>
        <item x="0"/>
        <item x="4"/>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Full Name" fld="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8CCB18-7080-41EB-8BC4-6EA39D50A890}" name="Workpla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7" firstHeaderRow="1" firstDataRow="1" firstDataCol="1"/>
  <pivotFields count="21">
    <pivotField showAll="0"/>
    <pivotField dataField="1" showAll="0"/>
    <pivotField showAll="0"/>
    <pivotField showAll="0"/>
    <pivotField showAll="0"/>
    <pivotField showAll="0"/>
    <pivotField showAll="0"/>
    <pivotField showAll="0">
      <items count="6">
        <item x="0"/>
        <item x="1"/>
        <item x="4"/>
        <item x="2"/>
        <item x="3"/>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formats count="6">
    <format dxfId="109">
      <pivotArea type="all" dataOnly="0" outline="0" fieldPosition="0"/>
    </format>
    <format dxfId="110">
      <pivotArea outline="0" collapsedLevelsAreSubtotals="1" fieldPosition="0"/>
    </format>
    <format dxfId="111">
      <pivotArea field="11" type="button" dataOnly="0" labelOnly="1" outline="0" axis="axisRow" fieldPosition="0"/>
    </format>
    <format dxfId="112">
      <pivotArea dataOnly="0" labelOnly="1" fieldPosition="0">
        <references count="1">
          <reference field="11" count="0"/>
        </references>
      </pivotArea>
    </format>
    <format dxfId="113">
      <pivotArea dataOnly="0" labelOnly="1" grandRow="1" outline="0" fieldPosition="0"/>
    </format>
    <format dxfId="1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7FB6511-9309-4C04-94D5-147FC24DC70A}" sourceName="Gender">
  <pivotTables>
    <pivotTable tabId="3" name="Skills"/>
    <pivotTable tabId="3" name="Age Range To Gender"/>
    <pivotTable tabId="3" name="Rating"/>
    <pivotTable tabId="3" name="Region"/>
  </pivotTables>
  <data>
    <tabular pivotCacheId="126657929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12F608A-0A51-417D-AED1-AD87B5C53E9A}" sourceName="Department">
  <pivotTables>
    <pivotTable tabId="3" name="Skills"/>
    <pivotTable tabId="3" name="Salaries"/>
    <pivotTable tabId="3" name="Workplace"/>
    <pivotTable tabId="3" name="Empolyee Status"/>
    <pivotTable tabId="3" name="Rating"/>
  </pivotTables>
  <data>
    <tabular pivotCacheId="1266579295">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39925AE-8A27-4A0F-9683-9FA30A1C4061}" cache="Slicer_Gender" caption="Gender" style="SlicerStyleOther1 2" rowHeight="274320"/>
  <slicer name="Department" xr10:uid="{BA6A4871-C329-4D3C-9851-FB851C057270}" cache="Slicer_Department" caption="Department" columnCount="3" style="SlicerStyleOther1 2"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168" dataDxfId="167">
  <autoFilter ref="A1:U51" xr:uid="{BD7F130C-4931-4EC9-8AE2-A64F6556D3A3}"/>
  <tableColumns count="21">
    <tableColumn id="1" xr3:uid="{6BDBB43D-1DF4-4FF3-9C56-0E3D699A83FC}" name="Employee ID" dataDxfId="166"/>
    <tableColumn id="2" xr3:uid="{363D91B7-21AD-4B4B-86DE-95D24769EAA5}" name="Full Name" dataDxfId="165"/>
    <tableColumn id="3" xr3:uid="{728245EC-9766-45F5-9851-7FEFEFBE2652}" name="Gender" dataDxfId="164"/>
    <tableColumn id="4" xr3:uid="{DD8A90D1-163F-4B0E-A039-9E7A16AFC106}" name="Age" dataDxfId="163"/>
    <tableColumn id="5" xr3:uid="{0672993B-A00D-49AE-84B7-674089468A17}" name="Age range" dataDxfId="162"/>
    <tableColumn id="6" xr3:uid="{B1ADEE80-60F1-4EE3-B3FB-8484EE6C17B3}" name="Region" dataDxfId="161"/>
    <tableColumn id="7" xr3:uid="{8E0A56EE-3456-4513-ADA0-27F6CAA8C17B}" name="Job Title" dataDxfId="160"/>
    <tableColumn id="8" xr3:uid="{0D9D5DB9-01CB-4300-B0CD-256901621ADC}" name="Department" dataDxfId="159"/>
    <tableColumn id="9" xr3:uid="{9EBDAC3F-6A39-4A78-B562-848691EE3AD1}" name="Manager/Supervisor" dataDxfId="158"/>
    <tableColumn id="10" xr3:uid="{AF849F24-150A-4123-B3F8-A46B4D4F7BC6}" name="Date of Hire" dataDxfId="157"/>
    <tableColumn id="11" xr3:uid="{8C57202E-334A-462A-9C44-E5E2468122E4}" name="Employment Status" dataDxfId="156"/>
    <tableColumn id="12" xr3:uid="{8A07812C-245C-4D55-A210-3AE7E0BB84EB}" name="Work Location" dataDxfId="155"/>
    <tableColumn id="13" xr3:uid="{6441036C-01DD-4130-8E4B-DBA441BCB744}" name="Salary" dataDxfId="154"/>
    <tableColumn id="14" xr3:uid="{ADCF531A-A98E-422C-939D-04D58C2423FB}" name="Pay Grade" dataDxfId="153"/>
    <tableColumn id="15" xr3:uid="{DE922695-AE31-4F31-8F89-61E6E7E646AB}" name="Bonus/Allowances" dataDxfId="152"/>
    <tableColumn id="16" xr3:uid="{62F2B816-9954-4A01-AEDC-4C13B3A2A52F}" name="Insurance Details" dataDxfId="151"/>
    <tableColumn id="17" xr3:uid="{6EFEC335-9B75-45D5-B403-A8A9E557BE24}" name="Leave Taken" dataDxfId="150"/>
    <tableColumn id="18" xr3:uid="{9DA1B78E-154E-42E4-A1BC-FE1CF363DCBA}" name="Performance Rating" dataDxfId="149"/>
    <tableColumn id="19" xr3:uid="{7E4B5E79-5639-4E3A-91A1-D1D8767BB705}" name="Training Programs Attended" dataDxfId="148"/>
    <tableColumn id="20" xr3:uid="{2E731344-8C6D-4001-9E36-F16B80500F61}" name="Skills" dataDxfId="147"/>
    <tableColumn id="21" xr3:uid="{9DCE550B-F788-4423-B330-CAB70C041DFC}" name="Certifications" dataDxfId="14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787A7-179E-4AF8-B97F-75BE9AA4E4E1}">
  <dimension ref="A2:X21"/>
  <sheetViews>
    <sheetView topLeftCell="K1" workbookViewId="0">
      <selection activeCell="X5" sqref="X5"/>
    </sheetView>
  </sheetViews>
  <sheetFormatPr defaultRowHeight="15"/>
  <cols>
    <col min="1" max="1" width="13.42578125" bestFit="1" customWidth="1"/>
    <col min="2" max="2" width="18.5703125" bestFit="1" customWidth="1"/>
    <col min="3" max="3" width="5.140625" customWidth="1"/>
    <col min="4" max="4" width="13.42578125" bestFit="1" customWidth="1"/>
    <col min="5" max="5" width="13.28515625" bestFit="1" customWidth="1"/>
    <col min="6" max="6" width="19" bestFit="1" customWidth="1"/>
    <col min="7" max="7" width="19.42578125" style="11" bestFit="1" customWidth="1"/>
    <col min="8" max="8" width="17.5703125" style="11" bestFit="1" customWidth="1"/>
    <col min="9" max="9" width="5.85546875" style="11" bestFit="1" customWidth="1"/>
    <col min="10" max="10" width="12.140625" style="11" bestFit="1" customWidth="1"/>
    <col min="12" max="12" width="14.28515625" style="11" bestFit="1" customWidth="1"/>
    <col min="13" max="13" width="19.42578125" style="11" bestFit="1" customWidth="1"/>
    <col min="17" max="17" width="15.28515625" bestFit="1" customWidth="1"/>
    <col min="18" max="18" width="18.5703125" bestFit="1" customWidth="1"/>
    <col min="20" max="20" width="13.42578125" bestFit="1" customWidth="1"/>
    <col min="21" max="21" width="18.5703125" bestFit="1" customWidth="1"/>
    <col min="23" max="23" width="13.42578125" bestFit="1" customWidth="1"/>
    <col min="24" max="24" width="29.140625" bestFit="1" customWidth="1"/>
    <col min="25" max="25" width="26" bestFit="1" customWidth="1"/>
  </cols>
  <sheetData>
    <row r="2" spans="1:24">
      <c r="A2" s="22" t="s">
        <v>217</v>
      </c>
      <c r="B2" s="22"/>
      <c r="D2" s="23" t="s">
        <v>222</v>
      </c>
      <c r="E2" s="23"/>
      <c r="G2" s="24" t="s">
        <v>224</v>
      </c>
      <c r="H2" s="24"/>
      <c r="I2" s="24"/>
      <c r="J2" s="24"/>
      <c r="L2" s="25" t="s">
        <v>226</v>
      </c>
      <c r="M2" s="25"/>
      <c r="Q2" s="20" t="s">
        <v>19</v>
      </c>
      <c r="R2" s="21"/>
      <c r="T2" s="20" t="s">
        <v>5</v>
      </c>
      <c r="U2" s="21"/>
    </row>
    <row r="3" spans="1:24">
      <c r="A3" s="5" t="s">
        <v>215</v>
      </c>
      <c r="B3" t="s">
        <v>214</v>
      </c>
      <c r="D3" s="5" t="s">
        <v>215</v>
      </c>
      <c r="E3" t="s">
        <v>221</v>
      </c>
      <c r="F3" t="s">
        <v>227</v>
      </c>
      <c r="G3" s="10" t="s">
        <v>214</v>
      </c>
      <c r="H3" s="10" t="s">
        <v>223</v>
      </c>
      <c r="L3" s="10" t="s">
        <v>215</v>
      </c>
      <c r="M3" s="11" t="s">
        <v>214</v>
      </c>
      <c r="Q3" s="5" t="s">
        <v>215</v>
      </c>
      <c r="R3" t="s">
        <v>214</v>
      </c>
      <c r="T3" s="5" t="s">
        <v>215</v>
      </c>
      <c r="U3" t="s">
        <v>214</v>
      </c>
      <c r="W3" s="5" t="s">
        <v>215</v>
      </c>
      <c r="X3" t="s">
        <v>228</v>
      </c>
    </row>
    <row r="4" spans="1:24">
      <c r="A4" s="6" t="s">
        <v>63</v>
      </c>
      <c r="B4" s="4">
        <v>17</v>
      </c>
      <c r="D4" s="6" t="s">
        <v>121</v>
      </c>
      <c r="E4" s="8">
        <v>167041</v>
      </c>
      <c r="F4" s="8">
        <v>28</v>
      </c>
      <c r="G4" s="10" t="s">
        <v>215</v>
      </c>
      <c r="H4" s="11" t="s">
        <v>22</v>
      </c>
      <c r="I4" s="11" t="s">
        <v>37</v>
      </c>
      <c r="J4" s="11" t="s">
        <v>216</v>
      </c>
      <c r="L4" s="12" t="s">
        <v>44</v>
      </c>
      <c r="M4" s="13">
        <v>23</v>
      </c>
      <c r="Q4" s="6" t="s">
        <v>75</v>
      </c>
      <c r="R4" s="4">
        <v>12</v>
      </c>
      <c r="T4" s="6" t="s">
        <v>39</v>
      </c>
      <c r="U4" s="4">
        <v>14</v>
      </c>
      <c r="W4" s="6" t="s">
        <v>26</v>
      </c>
      <c r="X4" s="18">
        <v>2.5833333333333335</v>
      </c>
    </row>
    <row r="5" spans="1:24">
      <c r="A5" s="6" t="s">
        <v>29</v>
      </c>
      <c r="B5" s="4">
        <v>20</v>
      </c>
      <c r="D5" s="6" t="s">
        <v>40</v>
      </c>
      <c r="E5" s="8">
        <v>613842</v>
      </c>
      <c r="F5" s="8">
        <v>110</v>
      </c>
      <c r="G5" s="12" t="s">
        <v>23</v>
      </c>
      <c r="H5" s="13">
        <v>6</v>
      </c>
      <c r="I5" s="13">
        <v>3</v>
      </c>
      <c r="J5" s="13">
        <v>9</v>
      </c>
      <c r="L5" s="12" t="s">
        <v>30</v>
      </c>
      <c r="M5" s="13">
        <v>8</v>
      </c>
      <c r="Q5" s="6" t="s">
        <v>34</v>
      </c>
      <c r="R5" s="4">
        <v>11</v>
      </c>
      <c r="T5" s="6" t="s">
        <v>24</v>
      </c>
      <c r="U5" s="4">
        <v>10</v>
      </c>
      <c r="W5" s="6" t="s">
        <v>41</v>
      </c>
      <c r="X5" s="18">
        <v>3.3</v>
      </c>
    </row>
    <row r="6" spans="1:24">
      <c r="A6" s="6" t="s">
        <v>111</v>
      </c>
      <c r="B6" s="4">
        <v>13</v>
      </c>
      <c r="D6" s="6" t="s">
        <v>72</v>
      </c>
      <c r="E6" s="8">
        <v>633594</v>
      </c>
      <c r="F6" s="8">
        <v>104</v>
      </c>
      <c r="G6" s="12" t="s">
        <v>38</v>
      </c>
      <c r="H6" s="13">
        <v>7</v>
      </c>
      <c r="I6" s="13">
        <v>6</v>
      </c>
      <c r="J6" s="13">
        <v>13</v>
      </c>
      <c r="L6" s="12" t="s">
        <v>54</v>
      </c>
      <c r="M6" s="13">
        <v>19</v>
      </c>
      <c r="Q6" s="6" t="s">
        <v>96</v>
      </c>
      <c r="R6" s="4">
        <v>7</v>
      </c>
      <c r="T6" s="6" t="s">
        <v>102</v>
      </c>
      <c r="U6" s="4">
        <v>7</v>
      </c>
      <c r="W6" s="6" t="s">
        <v>81</v>
      </c>
      <c r="X6" s="18">
        <v>2.25</v>
      </c>
    </row>
    <row r="7" spans="1:24">
      <c r="A7" s="6" t="s">
        <v>216</v>
      </c>
      <c r="B7" s="4">
        <v>50</v>
      </c>
      <c r="D7" s="6" t="s">
        <v>50</v>
      </c>
      <c r="E7" s="8">
        <v>959266</v>
      </c>
      <c r="F7" s="8">
        <v>123</v>
      </c>
      <c r="G7" s="12" t="s">
        <v>59</v>
      </c>
      <c r="H7" s="13">
        <v>5</v>
      </c>
      <c r="I7" s="13">
        <v>7</v>
      </c>
      <c r="J7" s="13">
        <v>12</v>
      </c>
      <c r="L7" s="12" t="s">
        <v>216</v>
      </c>
      <c r="M7" s="13">
        <v>50</v>
      </c>
      <c r="Q7" s="6" t="s">
        <v>56</v>
      </c>
      <c r="R7" s="4">
        <v>11</v>
      </c>
      <c r="T7" s="6" t="s">
        <v>80</v>
      </c>
      <c r="U7" s="4">
        <v>10</v>
      </c>
      <c r="W7" s="6" t="s">
        <v>51</v>
      </c>
      <c r="X7" s="18">
        <v>2.3636363636363638</v>
      </c>
    </row>
    <row r="8" spans="1:24">
      <c r="D8" s="6" t="s">
        <v>25</v>
      </c>
      <c r="E8" s="8">
        <v>731170</v>
      </c>
      <c r="F8" s="8">
        <v>122</v>
      </c>
      <c r="G8" s="12" t="s">
        <v>98</v>
      </c>
      <c r="H8" s="13">
        <v>4</v>
      </c>
      <c r="I8" s="13">
        <v>3</v>
      </c>
      <c r="J8" s="13">
        <v>7</v>
      </c>
      <c r="Q8" s="6" t="s">
        <v>66</v>
      </c>
      <c r="R8" s="4">
        <v>9</v>
      </c>
      <c r="T8" s="6" t="s">
        <v>49</v>
      </c>
      <c r="U8" s="4">
        <v>9</v>
      </c>
      <c r="W8" s="6" t="s">
        <v>60</v>
      </c>
      <c r="X8" s="18">
        <v>2.5555555555555554</v>
      </c>
    </row>
    <row r="9" spans="1:24">
      <c r="D9" s="6" t="s">
        <v>216</v>
      </c>
      <c r="E9" s="4">
        <v>3104913</v>
      </c>
      <c r="F9" s="4">
        <v>487</v>
      </c>
      <c r="G9" s="12" t="s">
        <v>68</v>
      </c>
      <c r="H9" s="13">
        <v>4</v>
      </c>
      <c r="I9" s="13">
        <v>5</v>
      </c>
      <c r="J9" s="13">
        <v>9</v>
      </c>
      <c r="Q9" s="6" t="s">
        <v>216</v>
      </c>
      <c r="R9" s="4">
        <v>50</v>
      </c>
      <c r="T9" s="6" t="s">
        <v>216</v>
      </c>
      <c r="U9" s="4">
        <v>50</v>
      </c>
      <c r="W9" s="6" t="s">
        <v>216</v>
      </c>
      <c r="X9" s="4">
        <v>2.62</v>
      </c>
    </row>
    <row r="10" spans="1:24">
      <c r="G10" s="12" t="s">
        <v>216</v>
      </c>
      <c r="H10" s="13">
        <v>26</v>
      </c>
      <c r="I10" s="13">
        <v>24</v>
      </c>
      <c r="J10" s="13">
        <v>50</v>
      </c>
      <c r="L10" s="12" t="s">
        <v>44</v>
      </c>
      <c r="M10" s="11">
        <f>IFERROR(GETPIVOTDATA("Full Name",$L$3,"Work Location","Branch Office"),0)</f>
        <v>23</v>
      </c>
      <c r="N10" s="15">
        <f t="shared" ref="N10:N12" si="0">SUM(M10)/SUM($M$10:$M$12)</f>
        <v>0.46</v>
      </c>
      <c r="O10" s="16">
        <f>1-N10</f>
        <v>0.54</v>
      </c>
    </row>
    <row r="11" spans="1:24">
      <c r="A11" s="6" t="s">
        <v>63</v>
      </c>
      <c r="B11">
        <f>IFERROR(GETPIVOTDATA("Full Name",$A$3,"Employment Status","Contract"),0)</f>
        <v>17</v>
      </c>
      <c r="D11" s="6" t="s">
        <v>121</v>
      </c>
      <c r="E11" s="9">
        <f>IFERROR(GETPIVOTDATA("Salary",$D$3,"Job Title","Analyst"),0)</f>
        <v>167041</v>
      </c>
      <c r="F11" s="9">
        <f>IFERROR(GETPIVOTDATA("Sum of Leave Taken",$D$3,"Job Title","Analyst"),0)</f>
        <v>28</v>
      </c>
      <c r="L11" s="12" t="s">
        <v>30</v>
      </c>
      <c r="M11" s="11">
        <f>IFERROR(GETPIVOTDATA("Full Name",$L$3,"Work Location","Head Office"),0)</f>
        <v>8</v>
      </c>
      <c r="N11" s="15">
        <f t="shared" si="0"/>
        <v>0.16</v>
      </c>
      <c r="O11" s="16">
        <f t="shared" ref="O11:O12" si="1">1-N11</f>
        <v>0.84</v>
      </c>
    </row>
    <row r="12" spans="1:24">
      <c r="A12" s="6" t="s">
        <v>29</v>
      </c>
      <c r="B12">
        <f>IFERROR(GETPIVOTDATA("Full Name",$A$3,"Employment Status","Full-Time"),0)</f>
        <v>20</v>
      </c>
      <c r="D12" s="6" t="s">
        <v>40</v>
      </c>
      <c r="E12" s="9">
        <f>IFERROR(GETPIVOTDATA("Salary",$D$3,"Job Title","Designer"),0)</f>
        <v>613842</v>
      </c>
      <c r="F12" s="9">
        <f>IFERROR(GETPIVOTDATA("Sum of Leave Taken",$D$3,"Job Title","Designer"),0)</f>
        <v>110</v>
      </c>
      <c r="L12" s="12" t="s">
        <v>54</v>
      </c>
      <c r="M12" s="11">
        <f>IFERROR(GETPIVOTDATA("Full Name",$L$3,"Work Location","Remote"),0)</f>
        <v>19</v>
      </c>
      <c r="N12" s="15">
        <f t="shared" si="0"/>
        <v>0.38</v>
      </c>
      <c r="O12" s="16">
        <f t="shared" si="1"/>
        <v>0.62</v>
      </c>
      <c r="Q12" s="6" t="s">
        <v>75</v>
      </c>
      <c r="R12">
        <f>IFERROR(GETPIVOTDATA("Full Name",$Q$3,"Skills","Communication"),0)</f>
        <v>12</v>
      </c>
      <c r="T12" s="6" t="s">
        <v>39</v>
      </c>
      <c r="U12">
        <f>IFERROR(GETPIVOTDATA("Full Name",$T$3,"Region","Central"),0)</f>
        <v>14</v>
      </c>
      <c r="W12" s="6" t="s">
        <v>26</v>
      </c>
      <c r="X12" s="18">
        <f>IFERROR(GETPIVOTDATA("Performance Rating",$W$3,"Department","Finance"),0)</f>
        <v>2.5833333333333335</v>
      </c>
    </row>
    <row r="13" spans="1:24">
      <c r="A13" s="6" t="s">
        <v>111</v>
      </c>
      <c r="B13">
        <f>IFERROR(GETPIVOTDATA("Full Name",$A$3,"Employment Status","Part-Time"),0)</f>
        <v>13</v>
      </c>
      <c r="D13" s="6" t="s">
        <v>72</v>
      </c>
      <c r="E13" s="9">
        <f>IFERROR(GETPIVOTDATA("Salary",$D$3,"Job Title","Developer"),0)</f>
        <v>633594</v>
      </c>
      <c r="F13" s="9">
        <f>IFERROR(GETPIVOTDATA("Sum of Leave Taken",$D$3,"Job Title","Developer"),0)</f>
        <v>104</v>
      </c>
      <c r="G13" s="12" t="s">
        <v>23</v>
      </c>
      <c r="H13" s="11">
        <f>IFERROR(GETPIVOTDATA("Full Name",$G$3,"Age range","18-25"),0)</f>
        <v>9</v>
      </c>
      <c r="L13" s="12" t="s">
        <v>218</v>
      </c>
      <c r="M13" s="11">
        <f>SUM(M10:M12)</f>
        <v>50</v>
      </c>
      <c r="Q13" s="6" t="s">
        <v>34</v>
      </c>
      <c r="R13">
        <f>IFERROR(GETPIVOTDATA("Full Name",$Q$3,"Skills","Design"),0)</f>
        <v>11</v>
      </c>
      <c r="T13" s="6" t="s">
        <v>24</v>
      </c>
      <c r="U13">
        <f>IFERROR(GETPIVOTDATA("Full Name",$T$3,"Region","East"),0)</f>
        <v>10</v>
      </c>
      <c r="W13" s="6" t="s">
        <v>41</v>
      </c>
      <c r="X13" s="18">
        <f>IFERROR(GETPIVOTDATA("Performance Rating",$W$3,"Department","HR"),0)</f>
        <v>3.3</v>
      </c>
    </row>
    <row r="14" spans="1:24">
      <c r="A14" s="6" t="s">
        <v>218</v>
      </c>
      <c r="B14">
        <f>SUM(B11:B13)</f>
        <v>50</v>
      </c>
      <c r="D14" s="6" t="s">
        <v>50</v>
      </c>
      <c r="E14" s="9">
        <f>IFERROR(GETPIVOTDATA("Salary",$D$3,"Job Title","HR Specialist"),0)</f>
        <v>959266</v>
      </c>
      <c r="F14" s="9">
        <f>IFERROR(GETPIVOTDATA("Sum of Leave Taken",$D$3,"Job Title","HR Specialist"),0)</f>
        <v>123</v>
      </c>
      <c r="G14" s="12" t="s">
        <v>38</v>
      </c>
      <c r="H14" s="11">
        <f>IFERROR(GETPIVOTDATA("Full Name",$G$3,"Age range","26-35"),0)</f>
        <v>13</v>
      </c>
      <c r="Q14" s="6" t="s">
        <v>96</v>
      </c>
      <c r="R14">
        <f>IFERROR(GETPIVOTDATA("Full Name",$Q$3,"Skills","Excel"),0)</f>
        <v>7</v>
      </c>
      <c r="T14" s="6" t="s">
        <v>102</v>
      </c>
      <c r="U14">
        <f>IFERROR(GETPIVOTDATA("Full Name",$T$3,"Region","North"),0)</f>
        <v>7</v>
      </c>
      <c r="W14" s="6" t="s">
        <v>81</v>
      </c>
      <c r="X14" s="18">
        <f>IFERROR(GETPIVOTDATA("Performance Rating",$W$3,"Department","IT"),0)</f>
        <v>2.25</v>
      </c>
    </row>
    <row r="15" spans="1:24">
      <c r="D15" s="6" t="s">
        <v>25</v>
      </c>
      <c r="E15" s="9">
        <f>IFERROR(GETPIVOTDATA("Salary",$D$3,"Job Title","Manager"),0)</f>
        <v>731170</v>
      </c>
      <c r="F15" s="9">
        <f>IFERROR(GETPIVOTDATA("Sum of Leave Taken",$D$3,"Job Title","Manager"),0)</f>
        <v>122</v>
      </c>
      <c r="G15" s="12" t="s">
        <v>59</v>
      </c>
      <c r="H15" s="11">
        <f>IFERROR(GETPIVOTDATA("Full Name",$G$3,"Age range","36-45"),0)</f>
        <v>12</v>
      </c>
      <c r="Q15" s="6" t="s">
        <v>56</v>
      </c>
      <c r="R15">
        <f>IFERROR(GETPIVOTDATA("Full Name",$Q$3,"Skills","Management"),0)</f>
        <v>11</v>
      </c>
      <c r="T15" s="6" t="s">
        <v>80</v>
      </c>
      <c r="U15">
        <f>IFERROR(GETPIVOTDATA("Full Name",$T$3,"Region","South"),0)</f>
        <v>10</v>
      </c>
      <c r="W15" s="6" t="s">
        <v>51</v>
      </c>
      <c r="X15" s="18">
        <f>IFERROR(GETPIVOTDATA("Performance Rating",$W$3,"Department","Marketing"),0)</f>
        <v>2.3636363636363638</v>
      </c>
    </row>
    <row r="16" spans="1:24">
      <c r="D16" s="6" t="s">
        <v>218</v>
      </c>
      <c r="E16" s="9">
        <f>SUM(E11:E15)</f>
        <v>3104913</v>
      </c>
      <c r="F16" s="8">
        <f>SUM(F11:F15)</f>
        <v>487</v>
      </c>
      <c r="G16" s="12" t="s">
        <v>98</v>
      </c>
      <c r="H16" s="11">
        <f>IFERROR(GETPIVOTDATA("Full Name",$G$3,"Age range","46-55"),0)</f>
        <v>7</v>
      </c>
      <c r="Q16" s="6" t="s">
        <v>66</v>
      </c>
      <c r="R16">
        <f>IFERROR(GETPIVOTDATA("Full Name",$Q$3,"Skills","Python"),0)</f>
        <v>9</v>
      </c>
      <c r="T16" s="6" t="s">
        <v>49</v>
      </c>
      <c r="U16">
        <f>IFERROR(GETPIVOTDATA("Full Name",$T$3,"Region","West"),0)</f>
        <v>9</v>
      </c>
      <c r="W16" s="6" t="s">
        <v>60</v>
      </c>
      <c r="X16" s="18">
        <f>IFERROR(GETPIVOTDATA("Performance Rating",$W$3,"Department","Operations"),0)</f>
        <v>2.5555555555555554</v>
      </c>
    </row>
    <row r="17" spans="7:24">
      <c r="G17" s="12" t="s">
        <v>68</v>
      </c>
      <c r="H17" s="11">
        <f>IFERROR(GETPIVOTDATA("Full Name",$G$3,"Age range","56 &lt;"),0)</f>
        <v>9</v>
      </c>
      <c r="Q17" s="6" t="s">
        <v>218</v>
      </c>
      <c r="R17">
        <f>SUM(R12:R16)</f>
        <v>50</v>
      </c>
      <c r="T17" s="6" t="s">
        <v>218</v>
      </c>
      <c r="U17">
        <f>SUM(U12:U16)</f>
        <v>50</v>
      </c>
      <c r="W17" s="6" t="s">
        <v>218</v>
      </c>
      <c r="X17" s="19">
        <f>AVERAGE(X12:X16)</f>
        <v>2.6105050505050502</v>
      </c>
    </row>
    <row r="18" spans="7:24">
      <c r="G18" s="12" t="s">
        <v>218</v>
      </c>
      <c r="H18" s="11">
        <f>SUM(H13:H17)</f>
        <v>50</v>
      </c>
    </row>
    <row r="20" spans="7:24">
      <c r="G20" s="12" t="s">
        <v>22</v>
      </c>
      <c r="H20" s="11">
        <f>IFERROR(GETPIVOTDATA("Full Name",$G$3,"Gender","Female"),0)</f>
        <v>26</v>
      </c>
      <c r="I20" s="14">
        <f t="shared" ref="I20:I21" si="2">SUM(H20)/SUM($H$20:$H$21)</f>
        <v>0.52</v>
      </c>
      <c r="J20" s="14">
        <f>1-I20</f>
        <v>0.48</v>
      </c>
    </row>
    <row r="21" spans="7:24">
      <c r="G21" s="12" t="s">
        <v>225</v>
      </c>
      <c r="H21" s="11">
        <f>IFERROR(GETPIVOTDATA("Full Name",$G$3,"Gender","Male"),0)</f>
        <v>24</v>
      </c>
      <c r="I21" s="14">
        <f t="shared" si="2"/>
        <v>0.48</v>
      </c>
      <c r="J21" s="14">
        <f>1-I21</f>
        <v>0.52</v>
      </c>
    </row>
  </sheetData>
  <mergeCells count="6">
    <mergeCell ref="T2:U2"/>
    <mergeCell ref="A2:B2"/>
    <mergeCell ref="D2:E2"/>
    <mergeCell ref="G2:J2"/>
    <mergeCell ref="L2:M2"/>
    <mergeCell ref="Q2:R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dimension ref="A1:U51"/>
  <sheetViews>
    <sheetView topLeftCell="A2" workbookViewId="0">
      <selection activeCell="B3" sqref="B3"/>
    </sheetView>
  </sheetViews>
  <sheetFormatPr defaultRowHeight="14.25"/>
  <cols>
    <col min="1" max="1" width="17.7109375" style="2" bestFit="1" customWidth="1"/>
    <col min="2" max="2" width="18.140625" style="2" bestFit="1" customWidth="1"/>
    <col min="3" max="3" width="12.85546875" style="2" bestFit="1" customWidth="1"/>
    <col min="4" max="4" width="9.5703125" style="2" bestFit="1" customWidth="1"/>
    <col min="5" max="5" width="15.85546875" style="2" bestFit="1" customWidth="1"/>
    <col min="6" max="6" width="12.28515625" style="2" bestFit="1" customWidth="1"/>
    <col min="7" max="7" width="14.140625" style="2" bestFit="1" customWidth="1"/>
    <col min="8" max="8" width="17.42578125" style="2" bestFit="1" customWidth="1"/>
    <col min="9" max="9" width="25.7109375" style="2" bestFit="1" customWidth="1"/>
    <col min="10" max="10" width="18" style="2" bestFit="1" customWidth="1"/>
    <col min="11" max="11" width="25" style="2" bestFit="1" customWidth="1"/>
    <col min="12" max="12" width="20.28515625" style="2" bestFit="1" customWidth="1"/>
    <col min="13" max="13" width="11.85546875" style="2" bestFit="1" customWidth="1"/>
    <col min="14" max="14" width="16.140625" style="2" bestFit="1" customWidth="1"/>
    <col min="15" max="15" width="24" style="2" bestFit="1" customWidth="1"/>
    <col min="16" max="16" width="22.7109375" style="2" bestFit="1" customWidth="1"/>
    <col min="17" max="17" width="18.140625" style="2" bestFit="1" customWidth="1"/>
    <col min="18" max="18" width="25.42578125" style="2" bestFit="1" customWidth="1"/>
    <col min="19" max="19" width="34" style="2" bestFit="1" customWidth="1"/>
    <col min="20" max="20" width="16" style="2" bestFit="1" customWidth="1"/>
    <col min="21" max="21" width="21.140625" style="2" bestFit="1" customWidth="1"/>
    <col min="22" max="16384" width="9.140625" style="2"/>
  </cols>
  <sheetData>
    <row r="1" spans="1:21" ht="4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3">
        <v>4294</v>
      </c>
      <c r="B2" s="3" t="s">
        <v>21</v>
      </c>
      <c r="C2" s="3" t="s">
        <v>22</v>
      </c>
      <c r="D2" s="3">
        <v>25</v>
      </c>
      <c r="E2" s="3" t="s">
        <v>23</v>
      </c>
      <c r="F2" s="3" t="s">
        <v>24</v>
      </c>
      <c r="G2" s="3" t="s">
        <v>25</v>
      </c>
      <c r="H2" s="3" t="s">
        <v>26</v>
      </c>
      <c r="I2" s="3" t="s">
        <v>27</v>
      </c>
      <c r="J2" s="3" t="s">
        <v>28</v>
      </c>
      <c r="K2" s="3" t="s">
        <v>29</v>
      </c>
      <c r="L2" s="3" t="s">
        <v>30</v>
      </c>
      <c r="M2" s="3">
        <v>53700</v>
      </c>
      <c r="N2" s="3" t="s">
        <v>31</v>
      </c>
      <c r="O2" s="3">
        <v>1463</v>
      </c>
      <c r="P2" s="3" t="s">
        <v>32</v>
      </c>
      <c r="Q2" s="3">
        <v>1</v>
      </c>
      <c r="R2" s="3">
        <v>1</v>
      </c>
      <c r="S2" s="3" t="s">
        <v>33</v>
      </c>
      <c r="T2" s="3" t="s">
        <v>34</v>
      </c>
      <c r="U2" s="3" t="s">
        <v>35</v>
      </c>
    </row>
    <row r="3" spans="1:21">
      <c r="A3" s="3">
        <v>9116</v>
      </c>
      <c r="B3" s="3" t="s">
        <v>36</v>
      </c>
      <c r="C3" s="3" t="s">
        <v>37</v>
      </c>
      <c r="D3" s="3">
        <v>27</v>
      </c>
      <c r="E3" s="3" t="s">
        <v>38</v>
      </c>
      <c r="F3" s="3" t="s">
        <v>39</v>
      </c>
      <c r="G3" s="3" t="s">
        <v>40</v>
      </c>
      <c r="H3" s="3" t="s">
        <v>41</v>
      </c>
      <c r="I3" s="3" t="s">
        <v>42</v>
      </c>
      <c r="J3" s="3" t="s">
        <v>43</v>
      </c>
      <c r="K3" s="3" t="s">
        <v>29</v>
      </c>
      <c r="L3" s="3" t="s">
        <v>44</v>
      </c>
      <c r="M3" s="3">
        <v>91091</v>
      </c>
      <c r="N3" s="3" t="s">
        <v>45</v>
      </c>
      <c r="O3" s="3">
        <v>1024</v>
      </c>
      <c r="P3" s="3" t="s">
        <v>46</v>
      </c>
      <c r="Q3" s="3">
        <v>19</v>
      </c>
      <c r="R3" s="3">
        <v>4</v>
      </c>
      <c r="S3" s="3" t="s">
        <v>47</v>
      </c>
      <c r="T3" s="3" t="s">
        <v>34</v>
      </c>
      <c r="U3" s="3" t="s">
        <v>35</v>
      </c>
    </row>
    <row r="4" spans="1:21">
      <c r="A4" s="3">
        <v>5120</v>
      </c>
      <c r="B4" s="3" t="s">
        <v>48</v>
      </c>
      <c r="C4" s="3" t="s">
        <v>37</v>
      </c>
      <c r="D4" s="3">
        <v>34</v>
      </c>
      <c r="E4" s="3" t="s">
        <v>38</v>
      </c>
      <c r="F4" s="3" t="s">
        <v>49</v>
      </c>
      <c r="G4" s="3" t="s">
        <v>50</v>
      </c>
      <c r="H4" s="3" t="s">
        <v>51</v>
      </c>
      <c r="I4" s="3" t="s">
        <v>52</v>
      </c>
      <c r="J4" s="3" t="s">
        <v>53</v>
      </c>
      <c r="K4" s="3" t="s">
        <v>29</v>
      </c>
      <c r="L4" s="3" t="s">
        <v>54</v>
      </c>
      <c r="M4" s="3">
        <v>57538</v>
      </c>
      <c r="N4" s="3" t="s">
        <v>55</v>
      </c>
      <c r="O4" s="3">
        <v>1674</v>
      </c>
      <c r="P4" s="3" t="s">
        <v>46</v>
      </c>
      <c r="Q4" s="3">
        <v>8</v>
      </c>
      <c r="R4" s="3">
        <v>1</v>
      </c>
      <c r="S4" s="3" t="s">
        <v>46</v>
      </c>
      <c r="T4" s="3" t="s">
        <v>56</v>
      </c>
      <c r="U4" s="3" t="s">
        <v>57</v>
      </c>
    </row>
    <row r="5" spans="1:21">
      <c r="A5" s="3">
        <v>8071</v>
      </c>
      <c r="B5" s="3" t="s">
        <v>58</v>
      </c>
      <c r="C5" s="3" t="s">
        <v>22</v>
      </c>
      <c r="D5" s="3">
        <v>41</v>
      </c>
      <c r="E5" s="3" t="s">
        <v>59</v>
      </c>
      <c r="F5" s="3" t="s">
        <v>49</v>
      </c>
      <c r="G5" s="3" t="s">
        <v>25</v>
      </c>
      <c r="H5" s="3" t="s">
        <v>60</v>
      </c>
      <c r="I5" s="3" t="s">
        <v>61</v>
      </c>
      <c r="J5" s="3" t="s">
        <v>62</v>
      </c>
      <c r="K5" s="3" t="s">
        <v>63</v>
      </c>
      <c r="L5" s="3" t="s">
        <v>30</v>
      </c>
      <c r="M5" s="3">
        <v>62993</v>
      </c>
      <c r="N5" s="3" t="s">
        <v>64</v>
      </c>
      <c r="O5" s="3">
        <v>2695</v>
      </c>
      <c r="P5" s="3" t="s">
        <v>65</v>
      </c>
      <c r="Q5" s="3">
        <v>0</v>
      </c>
      <c r="R5" s="3">
        <v>2</v>
      </c>
      <c r="S5" s="3" t="s">
        <v>46</v>
      </c>
      <c r="T5" s="3" t="s">
        <v>66</v>
      </c>
      <c r="U5" s="3" t="s">
        <v>46</v>
      </c>
    </row>
    <row r="6" spans="1:21">
      <c r="A6" s="3">
        <v>9351</v>
      </c>
      <c r="B6" s="3" t="s">
        <v>67</v>
      </c>
      <c r="C6" s="3" t="s">
        <v>37</v>
      </c>
      <c r="D6" s="3">
        <v>56</v>
      </c>
      <c r="E6" s="3" t="s">
        <v>68</v>
      </c>
      <c r="F6" s="3" t="s">
        <v>24</v>
      </c>
      <c r="G6" s="3" t="s">
        <v>25</v>
      </c>
      <c r="H6" s="3" t="s">
        <v>51</v>
      </c>
      <c r="I6" s="3" t="s">
        <v>69</v>
      </c>
      <c r="J6" s="3" t="s">
        <v>70</v>
      </c>
      <c r="K6" s="3" t="s">
        <v>63</v>
      </c>
      <c r="L6" s="3" t="s">
        <v>44</v>
      </c>
      <c r="M6" s="3">
        <v>45773</v>
      </c>
      <c r="N6" s="3" t="s">
        <v>64</v>
      </c>
      <c r="O6" s="3">
        <v>8776</v>
      </c>
      <c r="P6" s="3" t="s">
        <v>32</v>
      </c>
      <c r="Q6" s="3">
        <v>16</v>
      </c>
      <c r="R6" s="3">
        <v>4</v>
      </c>
      <c r="S6" s="3" t="s">
        <v>33</v>
      </c>
      <c r="T6" s="3" t="s">
        <v>66</v>
      </c>
      <c r="U6" s="3" t="s">
        <v>46</v>
      </c>
    </row>
    <row r="7" spans="1:21">
      <c r="A7" s="3">
        <v>2873</v>
      </c>
      <c r="B7" s="3" t="s">
        <v>71</v>
      </c>
      <c r="C7" s="3" t="s">
        <v>22</v>
      </c>
      <c r="D7" s="3">
        <v>28</v>
      </c>
      <c r="E7" s="3" t="s">
        <v>38</v>
      </c>
      <c r="F7" s="3" t="s">
        <v>49</v>
      </c>
      <c r="G7" s="3" t="s">
        <v>72</v>
      </c>
      <c r="H7" s="3" t="s">
        <v>51</v>
      </c>
      <c r="I7" s="3" t="s">
        <v>73</v>
      </c>
      <c r="J7" s="3" t="s">
        <v>74</v>
      </c>
      <c r="K7" s="3" t="s">
        <v>29</v>
      </c>
      <c r="L7" s="3" t="s">
        <v>44</v>
      </c>
      <c r="M7" s="3">
        <v>96249</v>
      </c>
      <c r="N7" s="3" t="s">
        <v>31</v>
      </c>
      <c r="O7" s="3">
        <v>4826</v>
      </c>
      <c r="P7" s="3" t="s">
        <v>65</v>
      </c>
      <c r="Q7" s="3">
        <v>7</v>
      </c>
      <c r="R7" s="3">
        <v>3</v>
      </c>
      <c r="S7" s="3" t="s">
        <v>33</v>
      </c>
      <c r="T7" s="3" t="s">
        <v>75</v>
      </c>
      <c r="U7" s="3" t="s">
        <v>35</v>
      </c>
    </row>
    <row r="8" spans="1:21">
      <c r="A8" s="3">
        <v>3540</v>
      </c>
      <c r="B8" s="3" t="s">
        <v>76</v>
      </c>
      <c r="C8" s="3" t="s">
        <v>22</v>
      </c>
      <c r="D8" s="3">
        <v>20</v>
      </c>
      <c r="E8" s="3" t="s">
        <v>23</v>
      </c>
      <c r="F8" s="3" t="s">
        <v>39</v>
      </c>
      <c r="G8" s="3" t="s">
        <v>50</v>
      </c>
      <c r="H8" s="3" t="s">
        <v>51</v>
      </c>
      <c r="I8" s="3" t="s">
        <v>77</v>
      </c>
      <c r="J8" s="3" t="s">
        <v>78</v>
      </c>
      <c r="K8" s="3" t="s">
        <v>29</v>
      </c>
      <c r="L8" s="3" t="s">
        <v>54</v>
      </c>
      <c r="M8" s="3">
        <v>61596</v>
      </c>
      <c r="N8" s="3" t="s">
        <v>31</v>
      </c>
      <c r="O8" s="3">
        <v>8818</v>
      </c>
      <c r="P8" s="3" t="s">
        <v>65</v>
      </c>
      <c r="Q8" s="3">
        <v>4</v>
      </c>
      <c r="R8" s="3">
        <v>2</v>
      </c>
      <c r="S8" s="3" t="s">
        <v>33</v>
      </c>
      <c r="T8" s="3" t="s">
        <v>56</v>
      </c>
      <c r="U8" s="3" t="s">
        <v>46</v>
      </c>
    </row>
    <row r="9" spans="1:21">
      <c r="A9" s="3">
        <v>3653</v>
      </c>
      <c r="B9" s="3" t="s">
        <v>79</v>
      </c>
      <c r="C9" s="3" t="s">
        <v>22</v>
      </c>
      <c r="D9" s="3">
        <v>58</v>
      </c>
      <c r="E9" s="3" t="s">
        <v>68</v>
      </c>
      <c r="F9" s="3" t="s">
        <v>80</v>
      </c>
      <c r="G9" s="3" t="s">
        <v>40</v>
      </c>
      <c r="H9" s="3" t="s">
        <v>81</v>
      </c>
      <c r="I9" s="3" t="s">
        <v>82</v>
      </c>
      <c r="J9" s="3" t="s">
        <v>83</v>
      </c>
      <c r="K9" s="3" t="s">
        <v>29</v>
      </c>
      <c r="L9" s="3" t="s">
        <v>54</v>
      </c>
      <c r="M9" s="3">
        <v>97869</v>
      </c>
      <c r="N9" s="3" t="s">
        <v>64</v>
      </c>
      <c r="O9" s="3">
        <v>1966</v>
      </c>
      <c r="P9" s="3" t="s">
        <v>32</v>
      </c>
      <c r="Q9" s="3">
        <v>10</v>
      </c>
      <c r="R9" s="3">
        <v>1</v>
      </c>
      <c r="S9" s="3" t="s">
        <v>33</v>
      </c>
      <c r="T9" s="3" t="s">
        <v>34</v>
      </c>
      <c r="U9" s="3" t="s">
        <v>35</v>
      </c>
    </row>
    <row r="10" spans="1:21">
      <c r="A10" s="3">
        <v>5587</v>
      </c>
      <c r="B10" s="3" t="s">
        <v>84</v>
      </c>
      <c r="C10" s="3" t="s">
        <v>22</v>
      </c>
      <c r="D10" s="3">
        <v>44</v>
      </c>
      <c r="E10" s="3" t="s">
        <v>59</v>
      </c>
      <c r="F10" s="3" t="s">
        <v>80</v>
      </c>
      <c r="G10" s="3" t="s">
        <v>50</v>
      </c>
      <c r="H10" s="3" t="s">
        <v>51</v>
      </c>
      <c r="I10" s="3" t="s">
        <v>85</v>
      </c>
      <c r="J10" s="3" t="s">
        <v>86</v>
      </c>
      <c r="K10" s="3" t="s">
        <v>29</v>
      </c>
      <c r="L10" s="3" t="s">
        <v>30</v>
      </c>
      <c r="M10" s="3">
        <v>81235</v>
      </c>
      <c r="N10" s="3" t="s">
        <v>64</v>
      </c>
      <c r="O10" s="3">
        <v>6553</v>
      </c>
      <c r="P10" s="3" t="s">
        <v>46</v>
      </c>
      <c r="Q10" s="3">
        <v>16</v>
      </c>
      <c r="R10" s="3">
        <v>2</v>
      </c>
      <c r="S10" s="3" t="s">
        <v>46</v>
      </c>
      <c r="T10" s="3" t="s">
        <v>56</v>
      </c>
      <c r="U10" s="3" t="s">
        <v>35</v>
      </c>
    </row>
    <row r="11" spans="1:21">
      <c r="A11" s="3">
        <v>9554</v>
      </c>
      <c r="B11" s="3" t="s">
        <v>87</v>
      </c>
      <c r="C11" s="3" t="s">
        <v>22</v>
      </c>
      <c r="D11" s="3">
        <v>29</v>
      </c>
      <c r="E11" s="3" t="s">
        <v>38</v>
      </c>
      <c r="F11" s="3" t="s">
        <v>39</v>
      </c>
      <c r="G11" s="3" t="s">
        <v>50</v>
      </c>
      <c r="H11" s="3" t="s">
        <v>60</v>
      </c>
      <c r="I11" s="3" t="s">
        <v>88</v>
      </c>
      <c r="J11" s="3" t="s">
        <v>89</v>
      </c>
      <c r="K11" s="3" t="s">
        <v>29</v>
      </c>
      <c r="L11" s="3" t="s">
        <v>44</v>
      </c>
      <c r="M11" s="3">
        <v>87852</v>
      </c>
      <c r="N11" s="3" t="s">
        <v>64</v>
      </c>
      <c r="O11" s="3">
        <v>4980</v>
      </c>
      <c r="P11" s="3" t="s">
        <v>65</v>
      </c>
      <c r="Q11" s="3">
        <v>19</v>
      </c>
      <c r="R11" s="3">
        <v>3</v>
      </c>
      <c r="S11" s="3" t="s">
        <v>46</v>
      </c>
      <c r="T11" s="3" t="s">
        <v>66</v>
      </c>
      <c r="U11" s="3" t="s">
        <v>35</v>
      </c>
    </row>
    <row r="12" spans="1:21">
      <c r="A12" s="3">
        <v>6213</v>
      </c>
      <c r="B12" s="3" t="s">
        <v>90</v>
      </c>
      <c r="C12" s="3" t="s">
        <v>37</v>
      </c>
      <c r="D12" s="3">
        <v>23</v>
      </c>
      <c r="E12" s="3" t="s">
        <v>23</v>
      </c>
      <c r="F12" s="3" t="s">
        <v>80</v>
      </c>
      <c r="G12" s="3" t="s">
        <v>25</v>
      </c>
      <c r="H12" s="3" t="s">
        <v>51</v>
      </c>
      <c r="I12" s="3" t="s">
        <v>91</v>
      </c>
      <c r="J12" s="3" t="s">
        <v>92</v>
      </c>
      <c r="K12" s="3" t="s">
        <v>63</v>
      </c>
      <c r="L12" s="3" t="s">
        <v>44</v>
      </c>
      <c r="M12" s="3">
        <v>59359</v>
      </c>
      <c r="N12" s="3" t="s">
        <v>64</v>
      </c>
      <c r="O12" s="3">
        <v>9449</v>
      </c>
      <c r="P12" s="3" t="s">
        <v>65</v>
      </c>
      <c r="Q12" s="3">
        <v>20</v>
      </c>
      <c r="R12" s="3">
        <v>3</v>
      </c>
      <c r="S12" s="3" t="s">
        <v>46</v>
      </c>
      <c r="T12" s="3" t="s">
        <v>56</v>
      </c>
      <c r="U12" s="3" t="s">
        <v>46</v>
      </c>
    </row>
    <row r="13" spans="1:21">
      <c r="A13" s="3">
        <v>9105</v>
      </c>
      <c r="B13" s="3" t="s">
        <v>93</v>
      </c>
      <c r="C13" s="3" t="s">
        <v>37</v>
      </c>
      <c r="D13" s="3">
        <v>30</v>
      </c>
      <c r="E13" s="3" t="s">
        <v>38</v>
      </c>
      <c r="F13" s="3" t="s">
        <v>24</v>
      </c>
      <c r="G13" s="3" t="s">
        <v>40</v>
      </c>
      <c r="H13" s="3" t="s">
        <v>26</v>
      </c>
      <c r="I13" s="3" t="s">
        <v>94</v>
      </c>
      <c r="J13" s="3" t="s">
        <v>95</v>
      </c>
      <c r="K13" s="3" t="s">
        <v>63</v>
      </c>
      <c r="L13" s="3" t="s">
        <v>54</v>
      </c>
      <c r="M13" s="3">
        <v>81225</v>
      </c>
      <c r="N13" s="3" t="s">
        <v>55</v>
      </c>
      <c r="O13" s="3">
        <v>6202</v>
      </c>
      <c r="P13" s="3" t="s">
        <v>65</v>
      </c>
      <c r="Q13" s="3">
        <v>2</v>
      </c>
      <c r="R13" s="3">
        <v>2</v>
      </c>
      <c r="S13" s="3" t="s">
        <v>47</v>
      </c>
      <c r="T13" s="3" t="s">
        <v>96</v>
      </c>
      <c r="U13" s="3" t="s">
        <v>35</v>
      </c>
    </row>
    <row r="14" spans="1:21">
      <c r="A14" s="3">
        <v>9508</v>
      </c>
      <c r="B14" s="3" t="s">
        <v>97</v>
      </c>
      <c r="C14" s="3" t="s">
        <v>22</v>
      </c>
      <c r="D14" s="3">
        <v>49</v>
      </c>
      <c r="E14" s="3" t="s">
        <v>98</v>
      </c>
      <c r="F14" s="3" t="s">
        <v>39</v>
      </c>
      <c r="G14" s="3" t="s">
        <v>25</v>
      </c>
      <c r="H14" s="3" t="s">
        <v>26</v>
      </c>
      <c r="I14" s="3" t="s">
        <v>99</v>
      </c>
      <c r="J14" s="3" t="s">
        <v>100</v>
      </c>
      <c r="K14" s="3" t="s">
        <v>63</v>
      </c>
      <c r="L14" s="3" t="s">
        <v>30</v>
      </c>
      <c r="M14" s="3">
        <v>32788</v>
      </c>
      <c r="N14" s="3" t="s">
        <v>55</v>
      </c>
      <c r="O14" s="3">
        <v>4396</v>
      </c>
      <c r="P14" s="3" t="s">
        <v>32</v>
      </c>
      <c r="Q14" s="3">
        <v>13</v>
      </c>
      <c r="R14" s="3">
        <v>5</v>
      </c>
      <c r="S14" s="3" t="s">
        <v>46</v>
      </c>
      <c r="T14" s="3" t="s">
        <v>75</v>
      </c>
      <c r="U14" s="3" t="s">
        <v>57</v>
      </c>
    </row>
    <row r="15" spans="1:21">
      <c r="A15" s="3">
        <v>2436</v>
      </c>
      <c r="B15" s="3" t="s">
        <v>101</v>
      </c>
      <c r="C15" s="3" t="s">
        <v>37</v>
      </c>
      <c r="D15" s="3">
        <v>60</v>
      </c>
      <c r="E15" s="3" t="s">
        <v>68</v>
      </c>
      <c r="F15" s="3" t="s">
        <v>102</v>
      </c>
      <c r="G15" s="3" t="s">
        <v>25</v>
      </c>
      <c r="H15" s="3" t="s">
        <v>60</v>
      </c>
      <c r="I15" s="3" t="s">
        <v>103</v>
      </c>
      <c r="J15" s="3" t="s">
        <v>104</v>
      </c>
      <c r="K15" s="3" t="s">
        <v>63</v>
      </c>
      <c r="L15" s="3" t="s">
        <v>54</v>
      </c>
      <c r="M15" s="3">
        <v>70452</v>
      </c>
      <c r="N15" s="3" t="s">
        <v>55</v>
      </c>
      <c r="O15" s="3">
        <v>9911</v>
      </c>
      <c r="P15" s="3" t="s">
        <v>46</v>
      </c>
      <c r="Q15" s="3">
        <v>2</v>
      </c>
      <c r="R15" s="3">
        <v>1</v>
      </c>
      <c r="S15" s="3" t="s">
        <v>46</v>
      </c>
      <c r="T15" s="3" t="s">
        <v>75</v>
      </c>
      <c r="U15" s="3" t="s">
        <v>35</v>
      </c>
    </row>
    <row r="16" spans="1:21">
      <c r="A16" s="3">
        <v>4441</v>
      </c>
      <c r="B16" s="3" t="s">
        <v>105</v>
      </c>
      <c r="C16" s="3" t="s">
        <v>37</v>
      </c>
      <c r="D16" s="3">
        <v>46</v>
      </c>
      <c r="E16" s="3" t="s">
        <v>98</v>
      </c>
      <c r="F16" s="3" t="s">
        <v>39</v>
      </c>
      <c r="G16" s="3" t="s">
        <v>72</v>
      </c>
      <c r="H16" s="3" t="s">
        <v>26</v>
      </c>
      <c r="I16" s="3" t="s">
        <v>106</v>
      </c>
      <c r="J16" s="3" t="s">
        <v>107</v>
      </c>
      <c r="K16" s="3" t="s">
        <v>29</v>
      </c>
      <c r="L16" s="3" t="s">
        <v>44</v>
      </c>
      <c r="M16" s="3">
        <v>33045</v>
      </c>
      <c r="N16" s="3" t="s">
        <v>45</v>
      </c>
      <c r="O16" s="3">
        <v>1456</v>
      </c>
      <c r="P16" s="3" t="s">
        <v>46</v>
      </c>
      <c r="Q16" s="3">
        <v>16</v>
      </c>
      <c r="R16" s="3">
        <v>3</v>
      </c>
      <c r="S16" s="3" t="s">
        <v>47</v>
      </c>
      <c r="T16" s="3" t="s">
        <v>75</v>
      </c>
      <c r="U16" s="3" t="s">
        <v>46</v>
      </c>
    </row>
    <row r="17" spans="1:21">
      <c r="A17" s="3">
        <v>5827</v>
      </c>
      <c r="B17" s="3" t="s">
        <v>108</v>
      </c>
      <c r="C17" s="3" t="s">
        <v>37</v>
      </c>
      <c r="D17" s="3">
        <v>57</v>
      </c>
      <c r="E17" s="3" t="s">
        <v>68</v>
      </c>
      <c r="F17" s="3" t="s">
        <v>49</v>
      </c>
      <c r="G17" s="3" t="s">
        <v>72</v>
      </c>
      <c r="H17" s="3" t="s">
        <v>41</v>
      </c>
      <c r="I17" s="3" t="s">
        <v>109</v>
      </c>
      <c r="J17" s="3" t="s">
        <v>110</v>
      </c>
      <c r="K17" s="3" t="s">
        <v>111</v>
      </c>
      <c r="L17" s="3" t="s">
        <v>54</v>
      </c>
      <c r="M17" s="3">
        <v>96429</v>
      </c>
      <c r="N17" s="3" t="s">
        <v>31</v>
      </c>
      <c r="O17" s="3">
        <v>4740</v>
      </c>
      <c r="P17" s="3" t="s">
        <v>46</v>
      </c>
      <c r="Q17" s="3">
        <v>8</v>
      </c>
      <c r="R17" s="3">
        <v>1</v>
      </c>
      <c r="S17" s="3" t="s">
        <v>47</v>
      </c>
      <c r="T17" s="3" t="s">
        <v>66</v>
      </c>
      <c r="U17" s="3" t="s">
        <v>46</v>
      </c>
    </row>
    <row r="18" spans="1:21">
      <c r="A18" s="3">
        <v>5184</v>
      </c>
      <c r="B18" s="3" t="s">
        <v>112</v>
      </c>
      <c r="C18" s="3" t="s">
        <v>22</v>
      </c>
      <c r="D18" s="3">
        <v>24</v>
      </c>
      <c r="E18" s="3" t="s">
        <v>23</v>
      </c>
      <c r="F18" s="3" t="s">
        <v>39</v>
      </c>
      <c r="G18" s="3" t="s">
        <v>50</v>
      </c>
      <c r="H18" s="3" t="s">
        <v>51</v>
      </c>
      <c r="I18" s="3" t="s">
        <v>113</v>
      </c>
      <c r="J18" s="3" t="s">
        <v>114</v>
      </c>
      <c r="K18" s="3" t="s">
        <v>111</v>
      </c>
      <c r="L18" s="3" t="s">
        <v>54</v>
      </c>
      <c r="M18" s="3">
        <v>33183</v>
      </c>
      <c r="N18" s="3" t="s">
        <v>64</v>
      </c>
      <c r="O18" s="3">
        <v>8114</v>
      </c>
      <c r="P18" s="3" t="s">
        <v>46</v>
      </c>
      <c r="Q18" s="3">
        <v>4</v>
      </c>
      <c r="R18" s="3">
        <v>2</v>
      </c>
      <c r="S18" s="3" t="s">
        <v>47</v>
      </c>
      <c r="T18" s="3" t="s">
        <v>96</v>
      </c>
      <c r="U18" s="3" t="s">
        <v>57</v>
      </c>
    </row>
    <row r="19" spans="1:21">
      <c r="A19" s="3">
        <v>5874</v>
      </c>
      <c r="B19" s="3" t="s">
        <v>58</v>
      </c>
      <c r="C19" s="3" t="s">
        <v>22</v>
      </c>
      <c r="D19" s="3">
        <v>35</v>
      </c>
      <c r="E19" s="3" t="s">
        <v>38</v>
      </c>
      <c r="F19" s="3" t="s">
        <v>102</v>
      </c>
      <c r="G19" s="3" t="s">
        <v>72</v>
      </c>
      <c r="H19" s="3" t="s">
        <v>26</v>
      </c>
      <c r="I19" s="3" t="s">
        <v>115</v>
      </c>
      <c r="J19" s="3" t="s">
        <v>116</v>
      </c>
      <c r="K19" s="3" t="s">
        <v>111</v>
      </c>
      <c r="L19" s="3" t="s">
        <v>30</v>
      </c>
      <c r="M19" s="3">
        <v>75065</v>
      </c>
      <c r="N19" s="3" t="s">
        <v>31</v>
      </c>
      <c r="O19" s="3">
        <v>7123</v>
      </c>
      <c r="P19" s="3" t="s">
        <v>46</v>
      </c>
      <c r="Q19" s="3">
        <v>20</v>
      </c>
      <c r="R19" s="3">
        <v>2</v>
      </c>
      <c r="S19" s="3" t="s">
        <v>46</v>
      </c>
      <c r="T19" s="3" t="s">
        <v>34</v>
      </c>
      <c r="U19" s="3" t="s">
        <v>57</v>
      </c>
    </row>
    <row r="20" spans="1:21">
      <c r="A20" s="3">
        <v>9834</v>
      </c>
      <c r="B20" s="3" t="s">
        <v>117</v>
      </c>
      <c r="C20" s="3" t="s">
        <v>37</v>
      </c>
      <c r="D20" s="3">
        <v>41</v>
      </c>
      <c r="E20" s="3" t="s">
        <v>59</v>
      </c>
      <c r="F20" s="3" t="s">
        <v>39</v>
      </c>
      <c r="G20" s="3" t="s">
        <v>40</v>
      </c>
      <c r="H20" s="3" t="s">
        <v>81</v>
      </c>
      <c r="I20" s="3" t="s">
        <v>118</v>
      </c>
      <c r="J20" s="3" t="s">
        <v>119</v>
      </c>
      <c r="K20" s="3" t="s">
        <v>29</v>
      </c>
      <c r="L20" s="3" t="s">
        <v>54</v>
      </c>
      <c r="M20" s="3">
        <v>32877</v>
      </c>
      <c r="N20" s="3" t="s">
        <v>31</v>
      </c>
      <c r="O20" s="3">
        <v>6432</v>
      </c>
      <c r="P20" s="3" t="s">
        <v>32</v>
      </c>
      <c r="Q20" s="3">
        <v>11</v>
      </c>
      <c r="R20" s="3">
        <v>1</v>
      </c>
      <c r="S20" s="3" t="s">
        <v>46</v>
      </c>
      <c r="T20" s="3" t="s">
        <v>34</v>
      </c>
      <c r="U20" s="3" t="s">
        <v>46</v>
      </c>
    </row>
    <row r="21" spans="1:21">
      <c r="A21" s="3">
        <v>5096</v>
      </c>
      <c r="B21" s="3" t="s">
        <v>120</v>
      </c>
      <c r="C21" s="3" t="s">
        <v>37</v>
      </c>
      <c r="D21" s="3">
        <v>36</v>
      </c>
      <c r="E21" s="3" t="s">
        <v>59</v>
      </c>
      <c r="F21" s="3" t="s">
        <v>39</v>
      </c>
      <c r="G21" s="3" t="s">
        <v>121</v>
      </c>
      <c r="H21" s="3" t="s">
        <v>60</v>
      </c>
      <c r="I21" s="3" t="s">
        <v>122</v>
      </c>
      <c r="J21" s="3" t="s">
        <v>123</v>
      </c>
      <c r="K21" s="3" t="s">
        <v>29</v>
      </c>
      <c r="L21" s="3" t="s">
        <v>44</v>
      </c>
      <c r="M21" s="3">
        <v>46811</v>
      </c>
      <c r="N21" s="3" t="s">
        <v>55</v>
      </c>
      <c r="O21" s="3">
        <v>1567</v>
      </c>
      <c r="P21" s="3" t="s">
        <v>46</v>
      </c>
      <c r="Q21" s="3">
        <v>7</v>
      </c>
      <c r="R21" s="3">
        <v>3</v>
      </c>
      <c r="S21" s="3" t="s">
        <v>47</v>
      </c>
      <c r="T21" s="3" t="s">
        <v>34</v>
      </c>
      <c r="U21" s="3" t="s">
        <v>57</v>
      </c>
    </row>
    <row r="22" spans="1:21">
      <c r="A22" s="3">
        <v>2263</v>
      </c>
      <c r="B22" s="3" t="s">
        <v>124</v>
      </c>
      <c r="C22" s="3" t="s">
        <v>37</v>
      </c>
      <c r="D22" s="3">
        <v>31</v>
      </c>
      <c r="E22" s="3" t="s">
        <v>38</v>
      </c>
      <c r="F22" s="3" t="s">
        <v>80</v>
      </c>
      <c r="G22" s="3" t="s">
        <v>50</v>
      </c>
      <c r="H22" s="3" t="s">
        <v>41</v>
      </c>
      <c r="I22" s="3" t="s">
        <v>125</v>
      </c>
      <c r="J22" s="3" t="s">
        <v>126</v>
      </c>
      <c r="K22" s="3" t="s">
        <v>63</v>
      </c>
      <c r="L22" s="3" t="s">
        <v>44</v>
      </c>
      <c r="M22" s="3">
        <v>87538</v>
      </c>
      <c r="N22" s="3" t="s">
        <v>31</v>
      </c>
      <c r="O22" s="3">
        <v>3588</v>
      </c>
      <c r="P22" s="3" t="s">
        <v>65</v>
      </c>
      <c r="Q22" s="3">
        <v>11</v>
      </c>
      <c r="R22" s="3">
        <v>5</v>
      </c>
      <c r="S22" s="3" t="s">
        <v>47</v>
      </c>
      <c r="T22" s="3" t="s">
        <v>66</v>
      </c>
      <c r="U22" s="3" t="s">
        <v>46</v>
      </c>
    </row>
    <row r="23" spans="1:21">
      <c r="A23" s="3">
        <v>6505</v>
      </c>
      <c r="B23" s="3" t="s">
        <v>127</v>
      </c>
      <c r="C23" s="3" t="s">
        <v>22</v>
      </c>
      <c r="D23" s="3">
        <v>28</v>
      </c>
      <c r="E23" s="3" t="s">
        <v>38</v>
      </c>
      <c r="F23" s="3" t="s">
        <v>24</v>
      </c>
      <c r="G23" s="3" t="s">
        <v>40</v>
      </c>
      <c r="H23" s="3" t="s">
        <v>81</v>
      </c>
      <c r="I23" s="3" t="s">
        <v>128</v>
      </c>
      <c r="J23" s="3" t="s">
        <v>129</v>
      </c>
      <c r="K23" s="3" t="s">
        <v>29</v>
      </c>
      <c r="L23" s="3" t="s">
        <v>44</v>
      </c>
      <c r="M23" s="3">
        <v>73002</v>
      </c>
      <c r="N23" s="3" t="s">
        <v>31</v>
      </c>
      <c r="O23" s="3">
        <v>6296</v>
      </c>
      <c r="P23" s="3" t="s">
        <v>32</v>
      </c>
      <c r="Q23" s="3">
        <v>2</v>
      </c>
      <c r="R23" s="3">
        <v>5</v>
      </c>
      <c r="S23" s="3" t="s">
        <v>47</v>
      </c>
      <c r="T23" s="3" t="s">
        <v>56</v>
      </c>
      <c r="U23" s="3" t="s">
        <v>35</v>
      </c>
    </row>
    <row r="24" spans="1:21">
      <c r="A24" s="3">
        <v>8626</v>
      </c>
      <c r="B24" s="3" t="s">
        <v>130</v>
      </c>
      <c r="C24" s="3" t="s">
        <v>37</v>
      </c>
      <c r="D24" s="3">
        <v>37</v>
      </c>
      <c r="E24" s="3" t="s">
        <v>59</v>
      </c>
      <c r="F24" s="3" t="s">
        <v>80</v>
      </c>
      <c r="G24" s="3" t="s">
        <v>40</v>
      </c>
      <c r="H24" s="3" t="s">
        <v>60</v>
      </c>
      <c r="I24" s="3" t="s">
        <v>131</v>
      </c>
      <c r="J24" s="3" t="s">
        <v>132</v>
      </c>
      <c r="K24" s="3" t="s">
        <v>111</v>
      </c>
      <c r="L24" s="3" t="s">
        <v>54</v>
      </c>
      <c r="M24" s="3">
        <v>41653</v>
      </c>
      <c r="N24" s="3" t="s">
        <v>55</v>
      </c>
      <c r="O24" s="3">
        <v>9236</v>
      </c>
      <c r="P24" s="3" t="s">
        <v>46</v>
      </c>
      <c r="Q24" s="3">
        <v>13</v>
      </c>
      <c r="R24" s="3">
        <v>1</v>
      </c>
      <c r="S24" s="3" t="s">
        <v>47</v>
      </c>
      <c r="T24" s="3" t="s">
        <v>34</v>
      </c>
      <c r="U24" s="3" t="s">
        <v>46</v>
      </c>
    </row>
    <row r="25" spans="1:21">
      <c r="A25" s="3">
        <v>5979</v>
      </c>
      <c r="B25" s="3" t="s">
        <v>133</v>
      </c>
      <c r="C25" s="3" t="s">
        <v>22</v>
      </c>
      <c r="D25" s="3">
        <v>31</v>
      </c>
      <c r="E25" s="3" t="s">
        <v>38</v>
      </c>
      <c r="F25" s="3" t="s">
        <v>24</v>
      </c>
      <c r="G25" s="3" t="s">
        <v>25</v>
      </c>
      <c r="H25" s="3" t="s">
        <v>51</v>
      </c>
      <c r="I25" s="3" t="s">
        <v>134</v>
      </c>
      <c r="J25" s="3" t="s">
        <v>135</v>
      </c>
      <c r="K25" s="3" t="s">
        <v>63</v>
      </c>
      <c r="L25" s="3" t="s">
        <v>44</v>
      </c>
      <c r="M25" s="3">
        <v>67582</v>
      </c>
      <c r="N25" s="3" t="s">
        <v>64</v>
      </c>
      <c r="O25" s="3">
        <v>1375</v>
      </c>
      <c r="P25" s="3" t="s">
        <v>32</v>
      </c>
      <c r="Q25" s="3">
        <v>20</v>
      </c>
      <c r="R25" s="3">
        <v>3</v>
      </c>
      <c r="S25" s="3" t="s">
        <v>47</v>
      </c>
      <c r="T25" s="3" t="s">
        <v>56</v>
      </c>
      <c r="U25" s="3" t="s">
        <v>46</v>
      </c>
    </row>
    <row r="26" spans="1:21">
      <c r="A26" s="3">
        <v>3104</v>
      </c>
      <c r="B26" s="3" t="s">
        <v>136</v>
      </c>
      <c r="C26" s="3" t="s">
        <v>22</v>
      </c>
      <c r="D26" s="3">
        <v>23</v>
      </c>
      <c r="E26" s="3" t="s">
        <v>23</v>
      </c>
      <c r="F26" s="3" t="s">
        <v>80</v>
      </c>
      <c r="G26" s="3" t="s">
        <v>40</v>
      </c>
      <c r="H26" s="3" t="s">
        <v>41</v>
      </c>
      <c r="I26" s="3" t="s">
        <v>137</v>
      </c>
      <c r="J26" s="3" t="s">
        <v>138</v>
      </c>
      <c r="K26" s="3" t="s">
        <v>111</v>
      </c>
      <c r="L26" s="3" t="s">
        <v>44</v>
      </c>
      <c r="M26" s="3">
        <v>37351</v>
      </c>
      <c r="N26" s="3" t="s">
        <v>55</v>
      </c>
      <c r="O26" s="3">
        <v>7858</v>
      </c>
      <c r="P26" s="3" t="s">
        <v>65</v>
      </c>
      <c r="Q26" s="3">
        <v>18</v>
      </c>
      <c r="R26" s="3">
        <v>2</v>
      </c>
      <c r="S26" s="3" t="s">
        <v>33</v>
      </c>
      <c r="T26" s="3" t="s">
        <v>56</v>
      </c>
      <c r="U26" s="3" t="s">
        <v>57</v>
      </c>
    </row>
    <row r="27" spans="1:21">
      <c r="A27" s="3">
        <v>8967</v>
      </c>
      <c r="B27" s="3" t="s">
        <v>139</v>
      </c>
      <c r="C27" s="3" t="s">
        <v>22</v>
      </c>
      <c r="D27" s="3">
        <v>48</v>
      </c>
      <c r="E27" s="3" t="s">
        <v>98</v>
      </c>
      <c r="F27" s="3" t="s">
        <v>102</v>
      </c>
      <c r="G27" s="3" t="s">
        <v>50</v>
      </c>
      <c r="H27" s="3" t="s">
        <v>26</v>
      </c>
      <c r="I27" s="3" t="s">
        <v>140</v>
      </c>
      <c r="J27" s="3" t="s">
        <v>141</v>
      </c>
      <c r="K27" s="3" t="s">
        <v>29</v>
      </c>
      <c r="L27" s="3" t="s">
        <v>44</v>
      </c>
      <c r="M27" s="3">
        <v>36721</v>
      </c>
      <c r="N27" s="3" t="s">
        <v>45</v>
      </c>
      <c r="O27" s="3">
        <v>8820</v>
      </c>
      <c r="P27" s="3" t="s">
        <v>65</v>
      </c>
      <c r="Q27" s="3">
        <v>0</v>
      </c>
      <c r="R27" s="3">
        <v>2</v>
      </c>
      <c r="S27" s="3" t="s">
        <v>47</v>
      </c>
      <c r="T27" s="3" t="s">
        <v>56</v>
      </c>
      <c r="U27" s="3" t="s">
        <v>35</v>
      </c>
    </row>
    <row r="28" spans="1:21">
      <c r="A28" s="3">
        <v>5087</v>
      </c>
      <c r="B28" s="3" t="s">
        <v>142</v>
      </c>
      <c r="C28" s="3" t="s">
        <v>37</v>
      </c>
      <c r="D28" s="3">
        <v>28</v>
      </c>
      <c r="E28" s="3" t="s">
        <v>38</v>
      </c>
      <c r="F28" s="3" t="s">
        <v>49</v>
      </c>
      <c r="G28" s="3" t="s">
        <v>121</v>
      </c>
      <c r="H28" s="3" t="s">
        <v>26</v>
      </c>
      <c r="I28" s="3" t="s">
        <v>143</v>
      </c>
      <c r="J28" s="3" t="s">
        <v>144</v>
      </c>
      <c r="K28" s="3" t="s">
        <v>63</v>
      </c>
      <c r="L28" s="3" t="s">
        <v>54</v>
      </c>
      <c r="M28" s="3">
        <v>46326</v>
      </c>
      <c r="N28" s="3" t="s">
        <v>45</v>
      </c>
      <c r="O28" s="3">
        <v>9189</v>
      </c>
      <c r="P28" s="3" t="s">
        <v>65</v>
      </c>
      <c r="Q28" s="3">
        <v>8</v>
      </c>
      <c r="R28" s="3">
        <v>4</v>
      </c>
      <c r="S28" s="3" t="s">
        <v>33</v>
      </c>
      <c r="T28" s="3" t="s">
        <v>75</v>
      </c>
      <c r="U28" s="3" t="s">
        <v>57</v>
      </c>
    </row>
    <row r="29" spans="1:21">
      <c r="A29" s="3">
        <v>3358</v>
      </c>
      <c r="B29" s="3" t="s">
        <v>145</v>
      </c>
      <c r="C29" s="3" t="s">
        <v>37</v>
      </c>
      <c r="D29" s="3">
        <v>30</v>
      </c>
      <c r="E29" s="3" t="s">
        <v>38</v>
      </c>
      <c r="F29" s="3" t="s">
        <v>39</v>
      </c>
      <c r="G29" s="3" t="s">
        <v>72</v>
      </c>
      <c r="H29" s="3" t="s">
        <v>41</v>
      </c>
      <c r="I29" s="3" t="s">
        <v>146</v>
      </c>
      <c r="J29" s="3" t="s">
        <v>147</v>
      </c>
      <c r="K29" s="3" t="s">
        <v>29</v>
      </c>
      <c r="L29" s="3" t="s">
        <v>30</v>
      </c>
      <c r="M29" s="3">
        <v>59007</v>
      </c>
      <c r="N29" s="3" t="s">
        <v>31</v>
      </c>
      <c r="O29" s="3">
        <v>3380</v>
      </c>
      <c r="P29" s="3" t="s">
        <v>32</v>
      </c>
      <c r="Q29" s="3">
        <v>17</v>
      </c>
      <c r="R29" s="3">
        <v>3</v>
      </c>
      <c r="S29" s="3" t="s">
        <v>46</v>
      </c>
      <c r="T29" s="3" t="s">
        <v>96</v>
      </c>
      <c r="U29" s="3" t="s">
        <v>35</v>
      </c>
    </row>
    <row r="30" spans="1:21">
      <c r="A30" s="3">
        <v>8256</v>
      </c>
      <c r="B30" s="3" t="s">
        <v>148</v>
      </c>
      <c r="C30" s="3" t="s">
        <v>37</v>
      </c>
      <c r="D30" s="3">
        <v>46</v>
      </c>
      <c r="E30" s="3" t="s">
        <v>98</v>
      </c>
      <c r="F30" s="3" t="s">
        <v>80</v>
      </c>
      <c r="G30" s="3" t="s">
        <v>25</v>
      </c>
      <c r="H30" s="3" t="s">
        <v>60</v>
      </c>
      <c r="I30" s="3" t="s">
        <v>149</v>
      </c>
      <c r="J30" s="3" t="s">
        <v>150</v>
      </c>
      <c r="K30" s="3" t="s">
        <v>29</v>
      </c>
      <c r="L30" s="3" t="s">
        <v>44</v>
      </c>
      <c r="M30" s="3">
        <v>52020</v>
      </c>
      <c r="N30" s="3" t="s">
        <v>45</v>
      </c>
      <c r="O30" s="3">
        <v>9585</v>
      </c>
      <c r="P30" s="3" t="s">
        <v>65</v>
      </c>
      <c r="Q30" s="3">
        <v>0</v>
      </c>
      <c r="R30" s="3">
        <v>4</v>
      </c>
      <c r="S30" s="3" t="s">
        <v>47</v>
      </c>
      <c r="T30" s="3" t="s">
        <v>96</v>
      </c>
      <c r="U30" s="3" t="s">
        <v>46</v>
      </c>
    </row>
    <row r="31" spans="1:21">
      <c r="A31" s="3">
        <v>5763</v>
      </c>
      <c r="B31" s="3" t="s">
        <v>151</v>
      </c>
      <c r="C31" s="3" t="s">
        <v>37</v>
      </c>
      <c r="D31" s="3">
        <v>44</v>
      </c>
      <c r="E31" s="3" t="s">
        <v>59</v>
      </c>
      <c r="F31" s="3" t="s">
        <v>39</v>
      </c>
      <c r="G31" s="3" t="s">
        <v>50</v>
      </c>
      <c r="H31" s="3" t="s">
        <v>41</v>
      </c>
      <c r="I31" s="3" t="s">
        <v>152</v>
      </c>
      <c r="J31" s="3" t="s">
        <v>153</v>
      </c>
      <c r="K31" s="3" t="s">
        <v>111</v>
      </c>
      <c r="L31" s="3" t="s">
        <v>44</v>
      </c>
      <c r="M31" s="3">
        <v>98961</v>
      </c>
      <c r="N31" s="3" t="s">
        <v>55</v>
      </c>
      <c r="O31" s="3">
        <v>2688</v>
      </c>
      <c r="P31" s="3" t="s">
        <v>32</v>
      </c>
      <c r="Q31" s="3">
        <v>2</v>
      </c>
      <c r="R31" s="3">
        <v>5</v>
      </c>
      <c r="S31" s="3" t="s">
        <v>47</v>
      </c>
      <c r="T31" s="3" t="s">
        <v>96</v>
      </c>
      <c r="U31" s="3" t="s">
        <v>35</v>
      </c>
    </row>
    <row r="32" spans="1:21">
      <c r="A32" s="3">
        <v>6838</v>
      </c>
      <c r="B32" s="3" t="s">
        <v>154</v>
      </c>
      <c r="C32" s="3" t="s">
        <v>37</v>
      </c>
      <c r="D32" s="3">
        <v>45</v>
      </c>
      <c r="E32" s="3" t="s">
        <v>59</v>
      </c>
      <c r="F32" s="3" t="s">
        <v>49</v>
      </c>
      <c r="G32" s="3" t="s">
        <v>72</v>
      </c>
      <c r="H32" s="3" t="s">
        <v>51</v>
      </c>
      <c r="I32" s="3" t="s">
        <v>155</v>
      </c>
      <c r="J32" s="3" t="s">
        <v>156</v>
      </c>
      <c r="K32" s="3" t="s">
        <v>111</v>
      </c>
      <c r="L32" s="3" t="s">
        <v>44</v>
      </c>
      <c r="M32" s="3">
        <v>81943</v>
      </c>
      <c r="N32" s="3" t="s">
        <v>31</v>
      </c>
      <c r="O32" s="3">
        <v>2255</v>
      </c>
      <c r="P32" s="3" t="s">
        <v>32</v>
      </c>
      <c r="Q32" s="3">
        <v>18</v>
      </c>
      <c r="R32" s="3">
        <v>2</v>
      </c>
      <c r="S32" s="3" t="s">
        <v>46</v>
      </c>
      <c r="T32" s="3" t="s">
        <v>66</v>
      </c>
      <c r="U32" s="3" t="s">
        <v>35</v>
      </c>
    </row>
    <row r="33" spans="1:21">
      <c r="A33" s="3">
        <v>9544</v>
      </c>
      <c r="B33" s="3" t="s">
        <v>157</v>
      </c>
      <c r="C33" s="3" t="s">
        <v>37</v>
      </c>
      <c r="D33" s="3">
        <v>52</v>
      </c>
      <c r="E33" s="3" t="s">
        <v>98</v>
      </c>
      <c r="F33" s="3" t="s">
        <v>102</v>
      </c>
      <c r="G33" s="3" t="s">
        <v>50</v>
      </c>
      <c r="H33" s="3" t="s">
        <v>41</v>
      </c>
      <c r="I33" s="3" t="s">
        <v>158</v>
      </c>
      <c r="J33" s="3" t="s">
        <v>159</v>
      </c>
      <c r="K33" s="3" t="s">
        <v>111</v>
      </c>
      <c r="L33" s="3" t="s">
        <v>44</v>
      </c>
      <c r="M33" s="3">
        <v>47627</v>
      </c>
      <c r="N33" s="3" t="s">
        <v>31</v>
      </c>
      <c r="O33" s="3">
        <v>1221</v>
      </c>
      <c r="P33" s="3" t="s">
        <v>46</v>
      </c>
      <c r="Q33" s="3">
        <v>4</v>
      </c>
      <c r="R33" s="3">
        <v>3</v>
      </c>
      <c r="S33" s="3" t="s">
        <v>46</v>
      </c>
      <c r="T33" s="3" t="s">
        <v>56</v>
      </c>
      <c r="U33" s="3" t="s">
        <v>46</v>
      </c>
    </row>
    <row r="34" spans="1:21">
      <c r="A34" s="3">
        <v>8012</v>
      </c>
      <c r="B34" s="3" t="s">
        <v>160</v>
      </c>
      <c r="C34" s="3" t="s">
        <v>22</v>
      </c>
      <c r="D34" s="3">
        <v>52</v>
      </c>
      <c r="E34" s="3" t="s">
        <v>98</v>
      </c>
      <c r="F34" s="3" t="s">
        <v>24</v>
      </c>
      <c r="G34" s="3" t="s">
        <v>25</v>
      </c>
      <c r="H34" s="3" t="s">
        <v>81</v>
      </c>
      <c r="I34" s="3" t="s">
        <v>161</v>
      </c>
      <c r="J34" s="3" t="s">
        <v>162</v>
      </c>
      <c r="K34" s="3" t="s">
        <v>111</v>
      </c>
      <c r="L34" s="3" t="s">
        <v>44</v>
      </c>
      <c r="M34" s="3">
        <v>56162</v>
      </c>
      <c r="N34" s="3" t="s">
        <v>55</v>
      </c>
      <c r="O34" s="3">
        <v>6560</v>
      </c>
      <c r="P34" s="3" t="s">
        <v>65</v>
      </c>
      <c r="Q34" s="3">
        <v>9</v>
      </c>
      <c r="R34" s="3">
        <v>4</v>
      </c>
      <c r="S34" s="3" t="s">
        <v>47</v>
      </c>
      <c r="T34" s="3" t="s">
        <v>75</v>
      </c>
      <c r="U34" s="3" t="s">
        <v>46</v>
      </c>
    </row>
    <row r="35" spans="1:21">
      <c r="A35" s="3">
        <v>9374</v>
      </c>
      <c r="B35" s="3" t="s">
        <v>163</v>
      </c>
      <c r="C35" s="3" t="s">
        <v>22</v>
      </c>
      <c r="D35" s="3">
        <v>42</v>
      </c>
      <c r="E35" s="3" t="s">
        <v>59</v>
      </c>
      <c r="F35" s="3" t="s">
        <v>39</v>
      </c>
      <c r="G35" s="3" t="s">
        <v>50</v>
      </c>
      <c r="H35" s="3" t="s">
        <v>51</v>
      </c>
      <c r="I35" s="3" t="s">
        <v>164</v>
      </c>
      <c r="J35" s="3" t="s">
        <v>165</v>
      </c>
      <c r="K35" s="3" t="s">
        <v>63</v>
      </c>
      <c r="L35" s="3" t="s">
        <v>54</v>
      </c>
      <c r="M35" s="3">
        <v>95734</v>
      </c>
      <c r="N35" s="3" t="s">
        <v>31</v>
      </c>
      <c r="O35" s="3">
        <v>4854</v>
      </c>
      <c r="P35" s="3" t="s">
        <v>32</v>
      </c>
      <c r="Q35" s="3">
        <v>13</v>
      </c>
      <c r="R35" s="3">
        <v>2</v>
      </c>
      <c r="S35" s="3" t="s">
        <v>33</v>
      </c>
      <c r="T35" s="3" t="s">
        <v>34</v>
      </c>
      <c r="U35" s="3" t="s">
        <v>35</v>
      </c>
    </row>
    <row r="36" spans="1:21">
      <c r="A36" s="3">
        <v>3487</v>
      </c>
      <c r="B36" s="3" t="s">
        <v>166</v>
      </c>
      <c r="C36" s="3" t="s">
        <v>37</v>
      </c>
      <c r="D36" s="3">
        <v>58</v>
      </c>
      <c r="E36" s="3" t="s">
        <v>68</v>
      </c>
      <c r="F36" s="3" t="s">
        <v>39</v>
      </c>
      <c r="G36" s="3" t="s">
        <v>40</v>
      </c>
      <c r="H36" s="3" t="s">
        <v>60</v>
      </c>
      <c r="I36" s="3" t="s">
        <v>167</v>
      </c>
      <c r="J36" s="3" t="s">
        <v>168</v>
      </c>
      <c r="K36" s="3" t="s">
        <v>63</v>
      </c>
      <c r="L36" s="3" t="s">
        <v>54</v>
      </c>
      <c r="M36" s="3">
        <v>74789</v>
      </c>
      <c r="N36" s="3" t="s">
        <v>31</v>
      </c>
      <c r="O36" s="3">
        <v>8101</v>
      </c>
      <c r="P36" s="3" t="s">
        <v>65</v>
      </c>
      <c r="Q36" s="3">
        <v>14</v>
      </c>
      <c r="R36" s="3">
        <v>5</v>
      </c>
      <c r="S36" s="3" t="s">
        <v>47</v>
      </c>
      <c r="T36" s="3" t="s">
        <v>66</v>
      </c>
      <c r="U36" s="3" t="s">
        <v>46</v>
      </c>
    </row>
    <row r="37" spans="1:21">
      <c r="A37" s="3">
        <v>8445</v>
      </c>
      <c r="B37" s="3" t="s">
        <v>169</v>
      </c>
      <c r="C37" s="3" t="s">
        <v>22</v>
      </c>
      <c r="D37" s="3">
        <v>24</v>
      </c>
      <c r="E37" s="3" t="s">
        <v>23</v>
      </c>
      <c r="F37" s="3" t="s">
        <v>102</v>
      </c>
      <c r="G37" s="3" t="s">
        <v>25</v>
      </c>
      <c r="H37" s="3" t="s">
        <v>60</v>
      </c>
      <c r="I37" s="3" t="s">
        <v>170</v>
      </c>
      <c r="J37" s="3" t="s">
        <v>171</v>
      </c>
      <c r="K37" s="3" t="s">
        <v>29</v>
      </c>
      <c r="L37" s="3" t="s">
        <v>54</v>
      </c>
      <c r="M37" s="3">
        <v>30137</v>
      </c>
      <c r="N37" s="3" t="s">
        <v>45</v>
      </c>
      <c r="O37" s="3">
        <v>4031</v>
      </c>
      <c r="P37" s="3" t="s">
        <v>46</v>
      </c>
      <c r="Q37" s="3">
        <v>5</v>
      </c>
      <c r="R37" s="3">
        <v>3</v>
      </c>
      <c r="S37" s="3" t="s">
        <v>46</v>
      </c>
      <c r="T37" s="3" t="s">
        <v>56</v>
      </c>
      <c r="U37" s="3" t="s">
        <v>35</v>
      </c>
    </row>
    <row r="38" spans="1:21">
      <c r="A38" s="3">
        <v>1550</v>
      </c>
      <c r="B38" s="3" t="s">
        <v>172</v>
      </c>
      <c r="C38" s="3" t="s">
        <v>37</v>
      </c>
      <c r="D38" s="3">
        <v>21</v>
      </c>
      <c r="E38" s="3" t="s">
        <v>23</v>
      </c>
      <c r="F38" s="3" t="s">
        <v>39</v>
      </c>
      <c r="G38" s="3" t="s">
        <v>25</v>
      </c>
      <c r="H38" s="3" t="s">
        <v>26</v>
      </c>
      <c r="I38" s="3" t="s">
        <v>173</v>
      </c>
      <c r="J38" s="3" t="s">
        <v>174</v>
      </c>
      <c r="K38" s="3" t="s">
        <v>29</v>
      </c>
      <c r="L38" s="3" t="s">
        <v>54</v>
      </c>
      <c r="M38" s="3">
        <v>95510</v>
      </c>
      <c r="N38" s="3" t="s">
        <v>31</v>
      </c>
      <c r="O38" s="3">
        <v>6811</v>
      </c>
      <c r="P38" s="3" t="s">
        <v>32</v>
      </c>
      <c r="Q38" s="3">
        <v>18</v>
      </c>
      <c r="R38" s="3">
        <v>4</v>
      </c>
      <c r="S38" s="3" t="s">
        <v>47</v>
      </c>
      <c r="T38" s="3" t="s">
        <v>96</v>
      </c>
      <c r="U38" s="3" t="s">
        <v>35</v>
      </c>
    </row>
    <row r="39" spans="1:21">
      <c r="A39" s="3">
        <v>9968</v>
      </c>
      <c r="B39" s="3" t="s">
        <v>175</v>
      </c>
      <c r="C39" s="3" t="s">
        <v>37</v>
      </c>
      <c r="D39" s="3">
        <v>58</v>
      </c>
      <c r="E39" s="3" t="s">
        <v>68</v>
      </c>
      <c r="F39" s="3" t="s">
        <v>39</v>
      </c>
      <c r="G39" s="3" t="s">
        <v>72</v>
      </c>
      <c r="H39" s="3" t="s">
        <v>26</v>
      </c>
      <c r="I39" s="3" t="s">
        <v>176</v>
      </c>
      <c r="J39" s="3" t="s">
        <v>177</v>
      </c>
      <c r="K39" s="3" t="s">
        <v>63</v>
      </c>
      <c r="L39" s="3" t="s">
        <v>30</v>
      </c>
      <c r="M39" s="3">
        <v>80325</v>
      </c>
      <c r="N39" s="3" t="s">
        <v>45</v>
      </c>
      <c r="O39" s="3">
        <v>6230</v>
      </c>
      <c r="P39" s="3" t="s">
        <v>32</v>
      </c>
      <c r="Q39" s="3">
        <v>5</v>
      </c>
      <c r="R39" s="3">
        <v>4</v>
      </c>
      <c r="S39" s="3" t="s">
        <v>46</v>
      </c>
      <c r="T39" s="3" t="s">
        <v>66</v>
      </c>
      <c r="U39" s="3" t="s">
        <v>57</v>
      </c>
    </row>
    <row r="40" spans="1:21">
      <c r="A40" s="3">
        <v>8029</v>
      </c>
      <c r="B40" s="3" t="s">
        <v>178</v>
      </c>
      <c r="C40" s="3" t="s">
        <v>22</v>
      </c>
      <c r="D40" s="3">
        <v>57</v>
      </c>
      <c r="E40" s="3" t="s">
        <v>68</v>
      </c>
      <c r="F40" s="3" t="s">
        <v>80</v>
      </c>
      <c r="G40" s="3" t="s">
        <v>121</v>
      </c>
      <c r="H40" s="3" t="s">
        <v>81</v>
      </c>
      <c r="I40" s="3" t="s">
        <v>179</v>
      </c>
      <c r="J40" s="3" t="s">
        <v>180</v>
      </c>
      <c r="K40" s="3" t="s">
        <v>111</v>
      </c>
      <c r="L40" s="3" t="s">
        <v>44</v>
      </c>
      <c r="M40" s="3">
        <v>34109</v>
      </c>
      <c r="N40" s="3" t="s">
        <v>45</v>
      </c>
      <c r="O40" s="3">
        <v>9232</v>
      </c>
      <c r="P40" s="3" t="s">
        <v>32</v>
      </c>
      <c r="Q40" s="3">
        <v>13</v>
      </c>
      <c r="R40" s="3">
        <v>3</v>
      </c>
      <c r="S40" s="3" t="s">
        <v>33</v>
      </c>
      <c r="T40" s="3" t="s">
        <v>34</v>
      </c>
      <c r="U40" s="3" t="s">
        <v>35</v>
      </c>
    </row>
    <row r="41" spans="1:21">
      <c r="A41" s="3">
        <v>8847</v>
      </c>
      <c r="B41" s="3" t="s">
        <v>181</v>
      </c>
      <c r="C41" s="3" t="s">
        <v>37</v>
      </c>
      <c r="D41" s="3">
        <v>41</v>
      </c>
      <c r="E41" s="3" t="s">
        <v>59</v>
      </c>
      <c r="F41" s="3" t="s">
        <v>80</v>
      </c>
      <c r="G41" s="3" t="s">
        <v>72</v>
      </c>
      <c r="H41" s="3" t="s">
        <v>26</v>
      </c>
      <c r="I41" s="3" t="s">
        <v>182</v>
      </c>
      <c r="J41" s="3" t="s">
        <v>183</v>
      </c>
      <c r="K41" s="3" t="s">
        <v>111</v>
      </c>
      <c r="L41" s="3" t="s">
        <v>54</v>
      </c>
      <c r="M41" s="3">
        <v>73330</v>
      </c>
      <c r="N41" s="3" t="s">
        <v>31</v>
      </c>
      <c r="O41" s="3">
        <v>2276</v>
      </c>
      <c r="P41" s="3" t="s">
        <v>65</v>
      </c>
      <c r="Q41" s="3">
        <v>5</v>
      </c>
      <c r="R41" s="3">
        <v>1</v>
      </c>
      <c r="S41" s="3" t="s">
        <v>46</v>
      </c>
      <c r="T41" s="3" t="s">
        <v>56</v>
      </c>
      <c r="U41" s="3" t="s">
        <v>57</v>
      </c>
    </row>
    <row r="42" spans="1:21">
      <c r="A42" s="3">
        <v>1955</v>
      </c>
      <c r="B42" s="3" t="s">
        <v>184</v>
      </c>
      <c r="C42" s="3" t="s">
        <v>22</v>
      </c>
      <c r="D42" s="3">
        <v>58</v>
      </c>
      <c r="E42" s="3" t="s">
        <v>68</v>
      </c>
      <c r="F42" s="3" t="s">
        <v>49</v>
      </c>
      <c r="G42" s="3" t="s">
        <v>50</v>
      </c>
      <c r="H42" s="3" t="s">
        <v>41</v>
      </c>
      <c r="I42" s="3" t="s">
        <v>185</v>
      </c>
      <c r="J42" s="3" t="s">
        <v>186</v>
      </c>
      <c r="K42" s="3" t="s">
        <v>63</v>
      </c>
      <c r="L42" s="3" t="s">
        <v>54</v>
      </c>
      <c r="M42" s="3">
        <v>46567</v>
      </c>
      <c r="N42" s="3" t="s">
        <v>64</v>
      </c>
      <c r="O42" s="3">
        <v>2825</v>
      </c>
      <c r="P42" s="3" t="s">
        <v>32</v>
      </c>
      <c r="Q42" s="3">
        <v>15</v>
      </c>
      <c r="R42" s="3">
        <v>3</v>
      </c>
      <c r="S42" s="3" t="s">
        <v>46</v>
      </c>
      <c r="T42" s="3" t="s">
        <v>96</v>
      </c>
      <c r="U42" s="3" t="s">
        <v>57</v>
      </c>
    </row>
    <row r="43" spans="1:21">
      <c r="A43" s="3">
        <v>4522</v>
      </c>
      <c r="B43" s="3" t="s">
        <v>187</v>
      </c>
      <c r="C43" s="3" t="s">
        <v>22</v>
      </c>
      <c r="D43" s="3">
        <v>36</v>
      </c>
      <c r="E43" s="3" t="s">
        <v>59</v>
      </c>
      <c r="F43" s="3" t="s">
        <v>24</v>
      </c>
      <c r="G43" s="3" t="s">
        <v>121</v>
      </c>
      <c r="H43" s="3" t="s">
        <v>26</v>
      </c>
      <c r="I43" s="3" t="s">
        <v>188</v>
      </c>
      <c r="J43" s="3" t="s">
        <v>189</v>
      </c>
      <c r="K43" s="3" t="s">
        <v>63</v>
      </c>
      <c r="L43" s="3" t="s">
        <v>44</v>
      </c>
      <c r="M43" s="3">
        <v>39795</v>
      </c>
      <c r="N43" s="3" t="s">
        <v>64</v>
      </c>
      <c r="O43" s="3">
        <v>1670</v>
      </c>
      <c r="P43" s="3" t="s">
        <v>46</v>
      </c>
      <c r="Q43" s="3">
        <v>0</v>
      </c>
      <c r="R43" s="3">
        <v>2</v>
      </c>
      <c r="S43" s="3" t="s">
        <v>47</v>
      </c>
      <c r="T43" s="3" t="s">
        <v>75</v>
      </c>
      <c r="U43" s="3" t="s">
        <v>46</v>
      </c>
    </row>
    <row r="44" spans="1:21">
      <c r="A44" s="3">
        <v>3078</v>
      </c>
      <c r="B44" s="3" t="s">
        <v>190</v>
      </c>
      <c r="C44" s="3" t="s">
        <v>22</v>
      </c>
      <c r="D44" s="3">
        <v>21</v>
      </c>
      <c r="E44" s="3" t="s">
        <v>23</v>
      </c>
      <c r="F44" s="3" t="s">
        <v>24</v>
      </c>
      <c r="G44" s="3" t="s">
        <v>25</v>
      </c>
      <c r="H44" s="3" t="s">
        <v>81</v>
      </c>
      <c r="I44" s="3" t="s">
        <v>191</v>
      </c>
      <c r="J44" s="3" t="s">
        <v>192</v>
      </c>
      <c r="K44" s="3" t="s">
        <v>63</v>
      </c>
      <c r="L44" s="3" t="s">
        <v>54</v>
      </c>
      <c r="M44" s="3">
        <v>59506</v>
      </c>
      <c r="N44" s="3" t="s">
        <v>64</v>
      </c>
      <c r="O44" s="3">
        <v>4428</v>
      </c>
      <c r="P44" s="3" t="s">
        <v>65</v>
      </c>
      <c r="Q44" s="3">
        <v>0</v>
      </c>
      <c r="R44" s="3">
        <v>1</v>
      </c>
      <c r="S44" s="3" t="s">
        <v>46</v>
      </c>
      <c r="T44" s="3" t="s">
        <v>75</v>
      </c>
      <c r="U44" s="3" t="s">
        <v>35</v>
      </c>
    </row>
    <row r="45" spans="1:21">
      <c r="A45" s="3">
        <v>6357</v>
      </c>
      <c r="B45" s="3" t="s">
        <v>193</v>
      </c>
      <c r="C45" s="3" t="s">
        <v>22</v>
      </c>
      <c r="D45" s="3">
        <v>46</v>
      </c>
      <c r="E45" s="3" t="s">
        <v>98</v>
      </c>
      <c r="F45" s="3" t="s">
        <v>49</v>
      </c>
      <c r="G45" s="3" t="s">
        <v>40</v>
      </c>
      <c r="H45" s="3" t="s">
        <v>81</v>
      </c>
      <c r="I45" s="3" t="s">
        <v>194</v>
      </c>
      <c r="J45" s="3" t="s">
        <v>195</v>
      </c>
      <c r="K45" s="3" t="s">
        <v>63</v>
      </c>
      <c r="L45" s="3" t="s">
        <v>54</v>
      </c>
      <c r="M45" s="3">
        <v>49058</v>
      </c>
      <c r="N45" s="3" t="s">
        <v>45</v>
      </c>
      <c r="O45" s="3">
        <v>4396</v>
      </c>
      <c r="P45" s="3" t="s">
        <v>46</v>
      </c>
      <c r="Q45" s="3">
        <v>5</v>
      </c>
      <c r="R45" s="3">
        <v>1</v>
      </c>
      <c r="S45" s="3" t="s">
        <v>46</v>
      </c>
      <c r="T45" s="3" t="s">
        <v>75</v>
      </c>
      <c r="U45" s="3" t="s">
        <v>46</v>
      </c>
    </row>
    <row r="46" spans="1:21">
      <c r="A46" s="3">
        <v>7951</v>
      </c>
      <c r="B46" s="3" t="s">
        <v>196</v>
      </c>
      <c r="C46" s="3" t="s">
        <v>22</v>
      </c>
      <c r="D46" s="3">
        <v>36</v>
      </c>
      <c r="E46" s="3" t="s">
        <v>59</v>
      </c>
      <c r="F46" s="3" t="s">
        <v>80</v>
      </c>
      <c r="G46" s="3" t="s">
        <v>50</v>
      </c>
      <c r="H46" s="3" t="s">
        <v>81</v>
      </c>
      <c r="I46" s="3" t="s">
        <v>197</v>
      </c>
      <c r="J46" s="3" t="s">
        <v>198</v>
      </c>
      <c r="K46" s="3" t="s">
        <v>63</v>
      </c>
      <c r="L46" s="3" t="s">
        <v>30</v>
      </c>
      <c r="M46" s="3">
        <v>98612</v>
      </c>
      <c r="N46" s="3" t="s">
        <v>64</v>
      </c>
      <c r="O46" s="3">
        <v>1168</v>
      </c>
      <c r="P46" s="3" t="s">
        <v>46</v>
      </c>
      <c r="Q46" s="3">
        <v>9</v>
      </c>
      <c r="R46" s="3">
        <v>2</v>
      </c>
      <c r="S46" s="3" t="s">
        <v>47</v>
      </c>
      <c r="T46" s="3" t="s">
        <v>34</v>
      </c>
      <c r="U46" s="3" t="s">
        <v>35</v>
      </c>
    </row>
    <row r="47" spans="1:21">
      <c r="A47" s="3">
        <v>9228</v>
      </c>
      <c r="B47" s="3" t="s">
        <v>199</v>
      </c>
      <c r="C47" s="3" t="s">
        <v>37</v>
      </c>
      <c r="D47" s="3">
        <v>41</v>
      </c>
      <c r="E47" s="3" t="s">
        <v>59</v>
      </c>
      <c r="F47" s="3" t="s">
        <v>102</v>
      </c>
      <c r="G47" s="3" t="s">
        <v>72</v>
      </c>
      <c r="H47" s="3" t="s">
        <v>41</v>
      </c>
      <c r="I47" s="3" t="s">
        <v>200</v>
      </c>
      <c r="J47" s="3" t="s">
        <v>201</v>
      </c>
      <c r="K47" s="3" t="s">
        <v>111</v>
      </c>
      <c r="L47" s="3" t="s">
        <v>44</v>
      </c>
      <c r="M47" s="3">
        <v>38201</v>
      </c>
      <c r="N47" s="3" t="s">
        <v>64</v>
      </c>
      <c r="O47" s="3">
        <v>7111</v>
      </c>
      <c r="P47" s="3" t="s">
        <v>32</v>
      </c>
      <c r="Q47" s="3">
        <v>8</v>
      </c>
      <c r="R47" s="3">
        <v>4</v>
      </c>
      <c r="S47" s="3" t="s">
        <v>33</v>
      </c>
      <c r="T47" s="3" t="s">
        <v>75</v>
      </c>
      <c r="U47" s="3" t="s">
        <v>46</v>
      </c>
    </row>
    <row r="48" spans="1:21">
      <c r="A48" s="3">
        <v>8988</v>
      </c>
      <c r="B48" s="3" t="s">
        <v>202</v>
      </c>
      <c r="C48" s="3" t="s">
        <v>37</v>
      </c>
      <c r="D48" s="3">
        <v>25</v>
      </c>
      <c r="E48" s="3" t="s">
        <v>23</v>
      </c>
      <c r="F48" s="3" t="s">
        <v>24</v>
      </c>
      <c r="G48" s="3" t="s">
        <v>50</v>
      </c>
      <c r="H48" s="3" t="s">
        <v>51</v>
      </c>
      <c r="I48" s="3" t="s">
        <v>203</v>
      </c>
      <c r="J48" s="3" t="s">
        <v>204</v>
      </c>
      <c r="K48" s="3" t="s">
        <v>111</v>
      </c>
      <c r="L48" s="3" t="s">
        <v>44</v>
      </c>
      <c r="M48" s="3">
        <v>92919</v>
      </c>
      <c r="N48" s="3" t="s">
        <v>55</v>
      </c>
      <c r="O48" s="3">
        <v>9497</v>
      </c>
      <c r="P48" s="3" t="s">
        <v>32</v>
      </c>
      <c r="Q48" s="3">
        <v>7</v>
      </c>
      <c r="R48" s="3">
        <v>2</v>
      </c>
      <c r="S48" s="3" t="s">
        <v>46</v>
      </c>
      <c r="T48" s="3" t="s">
        <v>75</v>
      </c>
      <c r="U48" s="3" t="s">
        <v>57</v>
      </c>
    </row>
    <row r="49" spans="1:21">
      <c r="A49" s="3">
        <v>1952</v>
      </c>
      <c r="B49" s="3" t="s">
        <v>205</v>
      </c>
      <c r="C49" s="3" t="s">
        <v>22</v>
      </c>
      <c r="D49" s="3">
        <v>29</v>
      </c>
      <c r="E49" s="3" t="s">
        <v>38</v>
      </c>
      <c r="F49" s="3" t="s">
        <v>102</v>
      </c>
      <c r="G49" s="3" t="s">
        <v>25</v>
      </c>
      <c r="H49" s="3" t="s">
        <v>41</v>
      </c>
      <c r="I49" s="3" t="s">
        <v>206</v>
      </c>
      <c r="J49" s="3" t="s">
        <v>207</v>
      </c>
      <c r="K49" s="3" t="s">
        <v>29</v>
      </c>
      <c r="L49" s="3" t="s">
        <v>54</v>
      </c>
      <c r="M49" s="3">
        <v>45188</v>
      </c>
      <c r="N49" s="3" t="s">
        <v>64</v>
      </c>
      <c r="O49" s="3">
        <v>9591</v>
      </c>
      <c r="P49" s="3" t="s">
        <v>65</v>
      </c>
      <c r="Q49" s="3">
        <v>18</v>
      </c>
      <c r="R49" s="3">
        <v>3</v>
      </c>
      <c r="S49" s="3" t="s">
        <v>33</v>
      </c>
      <c r="T49" s="3" t="s">
        <v>75</v>
      </c>
      <c r="U49" s="3" t="s">
        <v>46</v>
      </c>
    </row>
    <row r="50" spans="1:21">
      <c r="A50" s="3">
        <v>5760</v>
      </c>
      <c r="B50" s="3" t="s">
        <v>208</v>
      </c>
      <c r="C50" s="3" t="s">
        <v>22</v>
      </c>
      <c r="D50" s="3">
        <v>59</v>
      </c>
      <c r="E50" s="3" t="s">
        <v>68</v>
      </c>
      <c r="F50" s="3" t="s">
        <v>49</v>
      </c>
      <c r="G50" s="3" t="s">
        <v>40</v>
      </c>
      <c r="H50" s="3" t="s">
        <v>26</v>
      </c>
      <c r="I50" s="3" t="s">
        <v>209</v>
      </c>
      <c r="J50" s="3" t="s">
        <v>210</v>
      </c>
      <c r="K50" s="3" t="s">
        <v>29</v>
      </c>
      <c r="L50" s="3" t="s">
        <v>44</v>
      </c>
      <c r="M50" s="3">
        <v>34927</v>
      </c>
      <c r="N50" s="3" t="s">
        <v>55</v>
      </c>
      <c r="O50" s="3">
        <v>6996</v>
      </c>
      <c r="P50" s="3" t="s">
        <v>65</v>
      </c>
      <c r="Q50" s="3">
        <v>16</v>
      </c>
      <c r="R50" s="3">
        <v>1</v>
      </c>
      <c r="S50" s="3" t="s">
        <v>47</v>
      </c>
      <c r="T50" s="3" t="s">
        <v>34</v>
      </c>
      <c r="U50" s="3" t="s">
        <v>35</v>
      </c>
    </row>
    <row r="51" spans="1:21">
      <c r="A51" s="3">
        <v>5742</v>
      </c>
      <c r="B51" s="3" t="s">
        <v>211</v>
      </c>
      <c r="C51" s="3" t="s">
        <v>22</v>
      </c>
      <c r="D51" s="3">
        <v>27</v>
      </c>
      <c r="E51" s="3" t="s">
        <v>38</v>
      </c>
      <c r="F51" s="3" t="s">
        <v>24</v>
      </c>
      <c r="G51" s="3" t="s">
        <v>50</v>
      </c>
      <c r="H51" s="3" t="s">
        <v>60</v>
      </c>
      <c r="I51" s="3" t="s">
        <v>212</v>
      </c>
      <c r="J51" s="3" t="s">
        <v>213</v>
      </c>
      <c r="K51" s="3" t="s">
        <v>29</v>
      </c>
      <c r="L51" s="3" t="s">
        <v>44</v>
      </c>
      <c r="M51" s="3">
        <v>33183</v>
      </c>
      <c r="N51" s="3" t="s">
        <v>64</v>
      </c>
      <c r="O51" s="3">
        <v>1659</v>
      </c>
      <c r="P51" s="3" t="s">
        <v>46</v>
      </c>
      <c r="Q51" s="3">
        <v>11</v>
      </c>
      <c r="R51" s="3">
        <v>1</v>
      </c>
      <c r="S51" s="3" t="s">
        <v>33</v>
      </c>
      <c r="T51" s="3" t="s">
        <v>66</v>
      </c>
      <c r="U51" s="3" t="s">
        <v>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F476D-FB4E-4824-A14B-2ECAD85A2AEE}">
  <dimension ref="C6:T34"/>
  <sheetViews>
    <sheetView tabSelected="1" topLeftCell="A7" zoomScaleNormal="100" workbookViewId="0">
      <selection activeCell="S11" sqref="S11"/>
    </sheetView>
  </sheetViews>
  <sheetFormatPr defaultRowHeight="15"/>
  <cols>
    <col min="20" max="20" width="10.28515625" customWidth="1"/>
  </cols>
  <sheetData>
    <row r="6" spans="20:20">
      <c r="T6" s="7" t="s">
        <v>219</v>
      </c>
    </row>
    <row r="7" spans="20:20">
      <c r="T7" s="7" t="s">
        <v>220</v>
      </c>
    </row>
    <row r="10" spans="20:20" ht="20.25">
      <c r="T10" s="17"/>
    </row>
    <row r="34" spans="3:3">
      <c r="C34"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keywords>Karthikeyan@</cp:keywords>
  <cp:lastModifiedBy>karthikeyan govindaraj</cp:lastModifiedBy>
  <dcterms:created xsi:type="dcterms:W3CDTF">2024-12-11T17:14:33Z</dcterms:created>
  <dcterms:modified xsi:type="dcterms:W3CDTF">2026-03-18T06:45:44Z</dcterms:modified>
</cp:coreProperties>
</file>